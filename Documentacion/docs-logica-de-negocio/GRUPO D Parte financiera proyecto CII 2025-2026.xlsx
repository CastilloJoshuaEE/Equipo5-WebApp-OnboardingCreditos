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uario\Documents\octavo semestre\EMPRENDIMIENTO E INNOVACION\UNIDAD 2\PROYECTO SEGUNDO PARCIAL\parteFinanciera\"/>
    </mc:Choice>
  </mc:AlternateContent>
  <xr:revisionPtr revIDLastSave="0" documentId="13_ncr:1_{221B32C5-2909-4B13-AA18-C75B24C67D72}" xr6:coauthVersionLast="47" xr6:coauthVersionMax="47" xr10:uidLastSave="{00000000-0000-0000-0000-000000000000}"/>
  <bookViews>
    <workbookView xWindow="0" yWindow="0" windowWidth="24000" windowHeight="12900" firstSheet="6" activeTab="11" xr2:uid="{3385F2F0-C73C-4269-BF8D-B8E5A03BD77D}"/>
  </bookViews>
  <sheets>
    <sheet name="Relación con el cliente" sheetId="2" r:id="rId1"/>
    <sheet name="Fuentes de ingresos" sheetId="3" r:id="rId2"/>
    <sheet name="Recursos clave" sheetId="4" r:id="rId3"/>
    <sheet name="Actividades clave" sheetId="6" r:id="rId4"/>
    <sheet name="Preguntas adicionales a EC" sheetId="7" r:id="rId5"/>
    <sheet name="Estructura de costos" sheetId="5" r:id="rId6"/>
    <sheet name="Proyeccion de ingresos" sheetId="8" r:id="rId7"/>
    <sheet name="FlujoCaja" sheetId="1" r:id="rId8"/>
    <sheet name="VAN" sheetId="9" r:id="rId9"/>
    <sheet name="FlujoCajaVANAcelerado" sheetId="11" r:id="rId10"/>
    <sheet name="VANAcelerado" sheetId="12" r:id="rId11"/>
    <sheet name="Conclusión financiera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12" l="1"/>
  <c r="B7" i="12"/>
  <c r="B6" i="12"/>
  <c r="B5" i="12"/>
  <c r="B4" i="12"/>
  <c r="D7" i="12"/>
  <c r="B3" i="12"/>
  <c r="C8" i="12"/>
  <c r="D8" i="12"/>
  <c r="C7" i="12"/>
  <c r="D6" i="12"/>
  <c r="C6" i="12"/>
  <c r="C5" i="12"/>
  <c r="D5" i="12"/>
  <c r="C4" i="12"/>
  <c r="D4" i="12"/>
  <c r="C3" i="12"/>
  <c r="D3" i="12" s="1"/>
  <c r="D4" i="11"/>
  <c r="B29" i="11"/>
  <c r="B28" i="11"/>
  <c r="D27" i="11"/>
  <c r="E27" i="11" s="1"/>
  <c r="F27" i="11" s="1"/>
  <c r="G27" i="11" s="1"/>
  <c r="G16" i="11"/>
  <c r="F16" i="11"/>
  <c r="E16" i="11"/>
  <c r="D16" i="11"/>
  <c r="C16" i="11"/>
  <c r="G9" i="11"/>
  <c r="C9" i="11"/>
  <c r="G6" i="11"/>
  <c r="F6" i="11"/>
  <c r="F9" i="11" s="1"/>
  <c r="E6" i="11"/>
  <c r="E9" i="11" s="1"/>
  <c r="D6" i="11"/>
  <c r="D9" i="11" s="1"/>
  <c r="C6" i="11"/>
  <c r="B32" i="1"/>
  <c r="B31" i="1"/>
  <c r="D9" i="9"/>
  <c r="D5" i="9"/>
  <c r="D4" i="9"/>
  <c r="C5" i="9"/>
  <c r="C6" i="9"/>
  <c r="D3" i="9"/>
  <c r="C4" i="9"/>
  <c r="C7" i="9"/>
  <c r="C8" i="9"/>
  <c r="C3" i="9"/>
  <c r="C4" i="1"/>
  <c r="G6" i="1"/>
  <c r="G9" i="1" s="1"/>
  <c r="F6" i="1"/>
  <c r="E6" i="1"/>
  <c r="E9" i="1" s="1"/>
  <c r="D6" i="1"/>
  <c r="D9" i="1" s="1"/>
  <c r="B29" i="1"/>
  <c r="B3" i="9" s="1"/>
  <c r="B28" i="1"/>
  <c r="C6" i="1"/>
  <c r="C9" i="1" s="1"/>
  <c r="B28" i="8"/>
  <c r="A23" i="8"/>
  <c r="B23" i="8"/>
  <c r="A24" i="8"/>
  <c r="B24" i="8"/>
  <c r="A25" i="8"/>
  <c r="B25" i="8"/>
  <c r="A26" i="8"/>
  <c r="B26" i="8"/>
  <c r="A27" i="8"/>
  <c r="B27" i="8"/>
  <c r="A28" i="8"/>
  <c r="B17" i="8"/>
  <c r="B18" i="8" s="1"/>
  <c r="B16" i="8"/>
  <c r="B15" i="8"/>
  <c r="B13" i="8"/>
  <c r="B14" i="8" s="1"/>
  <c r="B12" i="8"/>
  <c r="C5" i="8"/>
  <c r="C6" i="8"/>
  <c r="C4" i="8"/>
  <c r="L15" i="5"/>
  <c r="L10" i="5"/>
  <c r="G10" i="5"/>
  <c r="G11" i="5"/>
  <c r="G12" i="5"/>
  <c r="G13" i="5"/>
  <c r="G9" i="5"/>
  <c r="E13" i="5"/>
  <c r="E12" i="5"/>
  <c r="E11" i="5"/>
  <c r="E9" i="5"/>
  <c r="E14" i="4"/>
  <c r="C3" i="5"/>
  <c r="B3" i="5"/>
  <c r="E10" i="7"/>
  <c r="E6" i="7"/>
  <c r="E4" i="7"/>
  <c r="E5" i="7"/>
  <c r="E7" i="7"/>
  <c r="E8" i="7"/>
  <c r="E9" i="7"/>
  <c r="E3" i="7"/>
  <c r="C28" i="7"/>
  <c r="D14" i="7"/>
  <c r="D15" i="7"/>
  <c r="D16" i="7"/>
  <c r="D17" i="7"/>
  <c r="D18" i="7"/>
  <c r="D19" i="7"/>
  <c r="D20" i="7"/>
  <c r="D21" i="7"/>
  <c r="D22" i="7"/>
  <c r="D23" i="7"/>
  <c r="D25" i="7"/>
  <c r="D26" i="7"/>
  <c r="D27" i="7"/>
  <c r="D24" i="7"/>
  <c r="D28" i="7" s="1"/>
  <c r="B4" i="5"/>
  <c r="B5" i="5" s="1"/>
  <c r="D10" i="7"/>
  <c r="E8" i="4"/>
  <c r="E5" i="4"/>
  <c r="E6" i="4"/>
  <c r="E7" i="4"/>
  <c r="E9" i="4"/>
  <c r="E10" i="4"/>
  <c r="E11" i="4"/>
  <c r="E12" i="4"/>
  <c r="E13" i="4"/>
  <c r="E4" i="4"/>
  <c r="B7" i="2"/>
  <c r="D27" i="1"/>
  <c r="E16" i="1"/>
  <c r="D16" i="1"/>
  <c r="F16" i="1"/>
  <c r="G16" i="1"/>
  <c r="C16" i="1"/>
  <c r="F9" i="1"/>
  <c r="D4" i="1"/>
  <c r="E4" i="1" s="1"/>
  <c r="D9" i="12" l="1"/>
  <c r="D17" i="11"/>
  <c r="D19" i="11" s="1"/>
  <c r="E4" i="11"/>
  <c r="C17" i="11"/>
  <c r="C19" i="11" s="1"/>
  <c r="F4" i="1"/>
  <c r="G4" i="1" s="1"/>
  <c r="G17" i="1" s="1"/>
  <c r="G19" i="1" s="1"/>
  <c r="G20" i="1" s="1"/>
  <c r="G21" i="1" s="1"/>
  <c r="E17" i="1"/>
  <c r="E19" i="1" s="1"/>
  <c r="E20" i="1" s="1"/>
  <c r="E21" i="1" s="1"/>
  <c r="D17" i="1"/>
  <c r="D19" i="1" s="1"/>
  <c r="D20" i="1" s="1"/>
  <c r="D21" i="1" s="1"/>
  <c r="D23" i="1" s="1"/>
  <c r="D24" i="1" s="1"/>
  <c r="D29" i="1" s="1"/>
  <c r="B5" i="9" s="1"/>
  <c r="C17" i="1"/>
  <c r="C4" i="5"/>
  <c r="C5" i="5" s="1"/>
  <c r="E27" i="1"/>
  <c r="C20" i="11" l="1"/>
  <c r="C21" i="11" s="1"/>
  <c r="F4" i="11"/>
  <c r="E17" i="11"/>
  <c r="E19" i="11" s="1"/>
  <c r="D20" i="11"/>
  <c r="D21" i="11" s="1"/>
  <c r="F17" i="1"/>
  <c r="F19" i="1" s="1"/>
  <c r="F20" i="1" s="1"/>
  <c r="F21" i="1" s="1"/>
  <c r="C19" i="1"/>
  <c r="C20" i="1" s="1"/>
  <c r="G23" i="1"/>
  <c r="G24" i="1" s="1"/>
  <c r="E23" i="1"/>
  <c r="E24" i="1" s="1"/>
  <c r="E29" i="1" s="1"/>
  <c r="B6" i="9" s="1"/>
  <c r="F23" i="1"/>
  <c r="F24" i="1" s="1"/>
  <c r="F27" i="1"/>
  <c r="G27" i="1" s="1"/>
  <c r="D23" i="11" l="1"/>
  <c r="D24" i="11" s="1"/>
  <c r="D29" i="11" s="1"/>
  <c r="C23" i="11"/>
  <c r="C24" i="11" s="1"/>
  <c r="C29" i="11" s="1"/>
  <c r="E20" i="11"/>
  <c r="E21" i="11" s="1"/>
  <c r="G4" i="11"/>
  <c r="G17" i="11" s="1"/>
  <c r="G19" i="11" s="1"/>
  <c r="F17" i="11"/>
  <c r="F19" i="11" s="1"/>
  <c r="D6" i="9"/>
  <c r="C21" i="1"/>
  <c r="C23" i="1" s="1"/>
  <c r="C24" i="1" s="1"/>
  <c r="C29" i="1" s="1"/>
  <c r="G29" i="1"/>
  <c r="B8" i="9" s="1"/>
  <c r="F29" i="1"/>
  <c r="B7" i="9" s="1"/>
  <c r="F20" i="11" l="1"/>
  <c r="F21" i="11"/>
  <c r="G20" i="11"/>
  <c r="G21" i="11" s="1"/>
  <c r="E23" i="11"/>
  <c r="E24" i="11" s="1"/>
  <c r="E29" i="11" s="1"/>
  <c r="D8" i="9"/>
  <c r="D7" i="9"/>
  <c r="B4" i="9"/>
  <c r="G23" i="11" l="1"/>
  <c r="G24" i="11" s="1"/>
  <c r="G29" i="11" s="1"/>
  <c r="F23" i="11"/>
  <c r="F24" i="11" s="1"/>
  <c r="F29" i="11" s="1"/>
  <c r="B31" i="11" l="1"/>
  <c r="B32" i="11"/>
</calcChain>
</file>

<file path=xl/sharedStrings.xml><?xml version="1.0" encoding="utf-8"?>
<sst xmlns="http://schemas.openxmlformats.org/spreadsheetml/2006/main" count="368" uniqueCount="299">
  <si>
    <t>FLUJO DE CAJA PROYECTADO</t>
  </si>
  <si>
    <t>AÑO 0</t>
  </si>
  <si>
    <t>Total de Ingresos</t>
  </si>
  <si>
    <t>Total costos operativos</t>
  </si>
  <si>
    <t>Gastos Financieros</t>
  </si>
  <si>
    <t>Gastos de Internet</t>
  </si>
  <si>
    <t>Total Gastos Financieros</t>
  </si>
  <si>
    <t>UTILIDAD ANTES DE IMPUESOS</t>
  </si>
  <si>
    <t>Gastos de interes</t>
  </si>
  <si>
    <t>utilidad antes de participacion e impuestos</t>
  </si>
  <si>
    <t>Impuestos 25%</t>
  </si>
  <si>
    <t>Utilidada Neta</t>
  </si>
  <si>
    <t>Amortización</t>
  </si>
  <si>
    <t>Capital de trabajo</t>
  </si>
  <si>
    <t>Flujo de Caja</t>
  </si>
  <si>
    <t>VAN</t>
  </si>
  <si>
    <t>TIR</t>
  </si>
  <si>
    <t>Tasa de Descuento</t>
  </si>
  <si>
    <t>Concepto</t>
  </si>
  <si>
    <t>Costo mensual</t>
  </si>
  <si>
    <t>Descripción</t>
  </si>
  <si>
    <t>Infraestructura de servidores (Vercel Pro + Render Starter)</t>
  </si>
  <si>
    <t>Vercel Pro $20/usuario/mes (1 usuario) + Render Starter $7/servicio/mes (1 servicio activo) + Render DB basica $6/mes = $33 infraestructura base + $14 adicional estimado uso</t>
  </si>
  <si>
    <t>Herramientas de soporte (chatbot Gemini 2.5 Flash + Brevo)</t>
  </si>
  <si>
    <t>Gemini 2.5 Flash: $0.10/mill. tokens input, estimado 100K tokens/mes = $0.01; Brevo Starter 5K emails/mes: $9; Brevo logo removal add-on: $9; total estimado soporte comunicacion: $25</t>
  </si>
  <si>
    <t>Personal de soporte tecnico (1 operador, tiempo parcial)</t>
  </si>
  <si>
    <t>Sueldo mensual tiempo parcial equivalente en Guayaquil, perfil junior-mid soporte</t>
  </si>
  <si>
    <t>TOTAL MENSUAL GESTION DE RELACION</t>
  </si>
  <si>
    <t>Incluye infraestructura, comunicación y personal de atención</t>
  </si>
  <si>
    <t>Tabla 2. Fuentes de ingreso de NEXIA</t>
  </si>
  <si>
    <t>Fuente de Ingreso</t>
  </si>
  <si>
    <t>Precio base</t>
  </si>
  <si>
    <t>Contribución</t>
  </si>
  <si>
    <t>Suscripción o Licencia B2B (modelo principal)</t>
  </si>
  <si>
    <t>Entidades financieras pagan suscripción mensual o anual según volumen de solicitudes, usuarios operadores y funcionalidades contratadas.</t>
  </si>
  <si>
    <t>Desde $500/mes</t>
  </si>
  <si>
    <t>Ingresos por transacción/uso</t>
  </si>
  <si>
    <t>Comisión por operación exitosa dentro de la plataforma: solicitud de crédito procesada ($0.50), validación KYC ($0.33 costo Didit, diferencial cobrado), consulta financiera ($0.20).</t>
  </si>
  <si>
    <t>Desde $0.20/op</t>
  </si>
  <si>
    <t>Servicios de implementación y soporte</t>
  </si>
  <si>
    <t>Configuración inicial ($1,500 único), integración branding ($800), adaptación flujos ($1,000), capacitación ($500/sesión), soporte premium ($200/mes).</t>
  </si>
  <si>
    <t>Desde $200/mes</t>
  </si>
  <si>
    <t>Tabla 3. Planes de suscripción NEXIA</t>
  </si>
  <si>
    <t>Plan</t>
  </si>
  <si>
    <t>Precio mensual</t>
  </si>
  <si>
    <t>Solicitudes incluidas</t>
  </si>
  <si>
    <t>Funcionalidades principales</t>
  </si>
  <si>
    <t>Plan Básico</t>
  </si>
  <si>
    <t>$500/mes</t>
  </si>
  <si>
    <t>Hasta 1,000 solicitudes/mes</t>
  </si>
  <si>
    <t>KYC/AML básico (primeras 500 gratis vía Didit), panel operador, notificaciones email (Brevo Free)</t>
  </si>
  <si>
    <t>Plan Profesional</t>
  </si>
  <si>
    <t>$1,200/mes</t>
  </si>
  <si>
    <t>Hasta 5,000 solicitudes/mes</t>
  </si>
  <si>
    <t>KYC/AML avanzado, integración BCRA/AFIP, scoring automático, chatbot Gemini Flash</t>
  </si>
  <si>
    <t>Plan Empresarial</t>
  </si>
  <si>
    <t>$2,500/mes</t>
  </si>
  <si>
    <t>Ilimitadas</t>
  </si>
  <si>
    <t>Todas las funcionalidades + API personalizada, soporte 24/7, SLA 99.9%, branding blanco</t>
  </si>
  <si>
    <t>Tabla 4. Cobrar por tu producto</t>
  </si>
  <si>
    <t>$500</t>
  </si>
  <si>
    <t>$1,200</t>
  </si>
  <si>
    <t>$2,500</t>
  </si>
  <si>
    <t>Categoría</t>
  </si>
  <si>
    <t>Elemento</t>
  </si>
  <si>
    <t>Cantidad</t>
  </si>
  <si>
    <t>Costo Unitario</t>
  </si>
  <si>
    <t>Costo Total</t>
  </si>
  <si>
    <t>Computación</t>
  </si>
  <si>
    <t>Laptops de desarrollo (16GB RAM, 512GB SSD)</t>
  </si>
  <si>
    <t>Monitores adicionales 24"</t>
  </si>
  <si>
    <t>$200</t>
  </si>
  <si>
    <t>Estaciones de trabajo (escritorio + silla ergonomica)</t>
  </si>
  <si>
    <t>Servidores</t>
  </si>
  <si>
    <t>Servidor de prueba y staging cloud reservado (deposito)</t>
  </si>
  <si>
    <t>Redes</t>
  </si>
  <si>
    <t>Router alta velocidad + switch + cableado</t>
  </si>
  <si>
    <t>Oficina</t>
  </si>
  <si>
    <t>Mobiliario de oficina</t>
  </si>
  <si>
    <t>Suministros de oficina (papeleria, tinta)</t>
  </si>
  <si>
    <t>Desarrollo</t>
  </si>
  <si>
    <t>Seguridad</t>
  </si>
  <si>
    <t>Licencias software de seguridad y antivirus</t>
  </si>
  <si>
    <t>TOTAL RECURSOS FISICOS</t>
  </si>
  <si>
    <t>Licencias herramientas desarrollo (GitHub Team 3 usuarios x 4 = 12/mes x 12 = deposito inicial)</t>
  </si>
  <si>
    <t>Suscripcion diseño Figma Professional (2 editores x 15/mes x 12 = deposito inicial)</t>
  </si>
  <si>
    <t>Servicio</t>
  </si>
  <si>
    <t xml:space="preserve">Plan / Precio </t>
  </si>
  <si>
    <t>Observación</t>
  </si>
  <si>
    <t>Vercel (frontend/despliegue)</t>
  </si>
  <si>
    <t>Free (Hobby): $0. Pro: $20/usuario/mes</t>
  </si>
  <si>
    <t>MVP usa plan Hobby gratuito. Producción requiere Pro a $20/mes por 1 usuario = $20/mes</t>
  </si>
  <si>
    <t>Render (backend API)</t>
  </si>
  <si>
    <t>Free: $0 (spin-down 15 min). Starter: $7/servicio/mes</t>
  </si>
  <si>
    <t>MVP usa Free. Producción: Starter $7/mes por servicio backend (1 servicio) + DB basica $6/mes = $13/mes</t>
  </si>
  <si>
    <t>Supabase (base de datos + auth)</t>
  </si>
  <si>
    <t>Free: $0 (500MB DB, 50K MAU). Pro: $25/proyecto/mes</t>
  </si>
  <si>
    <t>MVP usa Free. Producción requiere Pro a $25/mes (8GB DB, 100K MAU, 100GB storage)</t>
  </si>
  <si>
    <t>GitHub (control de versiones)</t>
  </si>
  <si>
    <t>Free: $0 (repos privados ilimitados). Team: $4/usuario/mes</t>
  </si>
  <si>
    <t>MVP usa Free. Producción: Team a $4/mes por usuario; 3 usuarios = $12/mes</t>
  </si>
  <si>
    <t>Figma (diseño UI/UX)</t>
  </si>
  <si>
    <t>Starter: $0 (3 archivos colaborativos). Professional: $15/editor/mes (mensual) o $12/editor/mes (anual)</t>
  </si>
  <si>
    <t>MVP usa Starter gratuito. Producción: Professional 2 editores x $15/mes = $30/mes (mensual) o $24/mes (anual)</t>
  </si>
  <si>
    <t>Brevo (email transaccional)</t>
  </si>
  <si>
    <t>Free: 9,000 emails/mes, 300/día. Starter: $9/mes desde 5K emails sin límite diario</t>
  </si>
  <si>
    <t>MVP usa Free. Producción: Starter $9/mes para emails sin límite diario + $9 add-on eliminar logo Brevo = $18/mes</t>
  </si>
  <si>
    <t>Google Gemini API (chatbot IA)</t>
  </si>
  <si>
    <t>Free: 15 RPM, 1,000 RPD (Gemini 2.5 Flash). Pago: $0.10/mill. tokens input, $0.40/mill. tokens output (Flash-Lite)</t>
  </si>
  <si>
    <t>MVP usa capa gratuita de AI Studio. Producción estimado 583 solicitudes/mes x 1,000 tokens promedio = 583K tokens/mes = $0.06 input + $0.23 output = aprox. $0.30/mes inicial</t>
  </si>
  <si>
    <t>Didit KYC (verificación identidad)</t>
  </si>
  <si>
    <t>Free: 500 verificaciones/mes gratis siempre. Pago: $0.33 por verificación completa (ID + Liveness + Face Match)</t>
  </si>
  <si>
    <t>MVP usa 500 gratis/mes. Producción: 583 solicitudes/mes - 500 gratis = 83 verificaciones x $0.33 = $27.39/mes en año 1</t>
  </si>
  <si>
    <t>Recurso</t>
  </si>
  <si>
    <t>Costo mensual estimado</t>
  </si>
  <si>
    <t>Justificación</t>
  </si>
  <si>
    <t>Talento humano (desarrolladores senior tiempo parcial)</t>
  </si>
  <si>
    <t>$1,600</t>
  </si>
  <si>
    <t>Personal calificado en tecnologías cloud y APIs financieras</t>
  </si>
  <si>
    <t>Infraestructura cloud (Vercel, Render, Supabase)</t>
  </si>
  <si>
    <t>$58</t>
  </si>
  <si>
    <t>Escalabilidad y alta disponibilidad (99.9% uptime)</t>
  </si>
  <si>
    <t>APIs externas (Didit, BCRA, Brevo, Gemini)</t>
  </si>
  <si>
    <t>$153 (variable)</t>
  </si>
  <si>
    <t>Costo por uso que escala con el volumen de solicitudes</t>
  </si>
  <si>
    <t>Actividad</t>
  </si>
  <si>
    <t>Desarrollo y mantenimiento de software</t>
  </si>
  <si>
    <t>Salarios de 2 desarrolladores full-stack tiempo parcial y QA</t>
  </si>
  <si>
    <t>Integración y monitoreo de APIs externas</t>
  </si>
  <si>
    <t>$153</t>
  </si>
  <si>
    <t>Gestión de conexiones con Didit, BCRA, Brevo, Gemini</t>
  </si>
  <si>
    <t>Marketing y ventas B2B</t>
  </si>
  <si>
    <t>Publicidad segmentada, eventos, creación de contenido</t>
  </si>
  <si>
    <t>Categoría de Costo</t>
  </si>
  <si>
    <t>Costo Mensual</t>
  </si>
  <si>
    <t>Costo Anual</t>
  </si>
  <si>
    <t>Porcentaje</t>
  </si>
  <si>
    <t>Costos fijos</t>
  </si>
  <si>
    <t>Costos variables</t>
  </si>
  <si>
    <t>TOTAL COSTOS ANUALES</t>
  </si>
  <si>
    <t>Concepto de Costo Variable</t>
  </si>
  <si>
    <t>Costo Unitario Real</t>
  </si>
  <si>
    <t>Volumen Mensual (Año 1)</t>
  </si>
  <si>
    <t>Verificación KYC completa (Didit)</t>
  </si>
  <si>
    <t>583 solicitudes/mes. Cobradas: 583-500=83</t>
  </si>
  <si>
    <t>Consulta BCRA/buros crediticios (API financiera estimada)</t>
  </si>
  <si>
    <t>583 consultas/mes</t>
  </si>
  <si>
    <t>Envió de emails transaccionales (Brevo Starter)</t>
  </si>
  <si>
    <t>Consumo IA Google Gemini 2.5 Flash (chatbot)</t>
  </si>
  <si>
    <t>~583K tokens/mes (1K tokens/solicitud promedio)</t>
  </si>
  <si>
    <t>Almacenamiento documentos Supabase Pro (100GB incluidos)</t>
  </si>
  <si>
    <t>~50GB/mes en año 1 (dentro del plan)</t>
  </si>
  <si>
    <t>API validación email (Brevo incluido en plan Starter)</t>
  </si>
  <si>
    <t>583 validaciones/mes</t>
  </si>
  <si>
    <t>Comisiones pasarela de pago (Stripe estimado)</t>
  </si>
  <si>
    <t>TOTAL COSTOS VARIABLES MENSUALES (producción)</t>
  </si>
  <si>
    <t>0.33 por verificación (real Didit pricing). MVP: 500 gratis/mes</t>
  </si>
  <si>
    <t>0.20 por consulta (estimado mercado)</t>
  </si>
  <si>
    <t>9/mes plan Starter hasta 20K emails/mes. MVP: 9,000/mes gratis</t>
  </si>
  <si>
    <t>Hasta 20,000 emails (plan 9/mes; costo fijo)</t>
  </si>
  <si>
    <t>0.10/mill. tokens input + 0.40/mill. tokens output. MVP: gratuito hasta 1,000 RPD</t>
  </si>
  <si>
    <t>0.021/GB adicional sobre 100GB incluidos en Pro 25/mes</t>
  </si>
  <si>
    <t>0 adicional (incluido en Brevo Starter)</t>
  </si>
  <si>
    <t>2.9% + 0.30 por transacción</t>
  </si>
  <si>
    <t>~5 transacciones/mes de 850 promedio = 4,250 facturado</t>
  </si>
  <si>
    <t>Concepto de Costo Fijo</t>
  </si>
  <si>
    <t>Detalle / Precio real verificado</t>
  </si>
  <si>
    <t>Vercel Pro (1 usuario, frontend)</t>
  </si>
  <si>
    <t>Render Starter (1 servicio backend) + DB básica</t>
  </si>
  <si>
    <t>Supabase Pro (base de datos + auth)</t>
  </si>
  <si>
    <t>GitHub Team (3 usuarios)</t>
  </si>
  <si>
    <t>Figma Professional (2 editores)</t>
  </si>
  <si>
    <t>Brevo Starter (emails + eliminar logo)</t>
  </si>
  <si>
    <t>Internet de alta velocidad (100 Mbps simétrico)</t>
  </si>
  <si>
    <t>Servicio ISP local Guayaquil estimado</t>
  </si>
  <si>
    <t>Energía eléctrica (laboratorio/coworking)</t>
  </si>
  <si>
    <t>Estimado uso mensual oficina</t>
  </si>
  <si>
    <t>Alquiler espacio coworking (año 1: remoto)</t>
  </si>
  <si>
    <t>Salario desarrollador frontend (tiempo parcial)</t>
  </si>
  <si>
    <t>Perfil junior-mid, tiempo parcial, Guayaquil</t>
  </si>
  <si>
    <t>Salario desarrollador backend (tiempo parcial)</t>
  </si>
  <si>
    <t>Salario QA y soporte técnico (tiempo parcial)</t>
  </si>
  <si>
    <t>Perfil junior, tiempo parcial, Guayaquil</t>
  </si>
  <si>
    <t>Marketing y publicidad digital (Google/LinkedIn Ads)</t>
  </si>
  <si>
    <t>Presupuesto mensual publicidad B2B</t>
  </si>
  <si>
    <t>Gastos administrativos (papelería, comunicaciones)</t>
  </si>
  <si>
    <t>Gastos operativos generales</t>
  </si>
  <si>
    <t>TOTAL COSTOS FIJOS MENSUALES</t>
  </si>
  <si>
    <t>7/servicio/mes (Starter) + 6/mes DB básica = 13/mes total</t>
  </si>
  <si>
    <t>15/editor/mes x 2 = 30/mes (mensual). Si anual: 12/editor x 2 = 24/mes</t>
  </si>
  <si>
    <t>9/mes plan Starter 5K-20K emails + 9/mes add-on eliminar logo = 18/mes</t>
  </si>
  <si>
    <t>Año 1: operación remota (0). Desde año 3: coworking ~150/mes</t>
  </si>
  <si>
    <t>20/usuario/mes</t>
  </si>
  <si>
    <t xml:space="preserve">25/proyecto/mes  </t>
  </si>
  <si>
    <t>4/usuario/mes x 3 usuarios = 12/mes</t>
  </si>
  <si>
    <t>Tabla 13. Costos fijos mensuales NEXIA — operación productiva (precios 2025-2026)</t>
  </si>
  <si>
    <t>Tabla 3. Costos de gestión de relación con clientes</t>
  </si>
  <si>
    <t>Tabla 7. Inventario de activos físicos y tecnológicos de NEXIA</t>
  </si>
  <si>
    <t>Tabla 8. Precios de plataformas cloud utilizadas en NEXIA</t>
  </si>
  <si>
    <t>Tabla 9. Recursos clave más costosos</t>
  </si>
  <si>
    <t>Tabla 10. actividades clave más costosos</t>
  </si>
  <si>
    <t>Tabla 11. Estructura de costes anuales NEXIA - Año 1</t>
  </si>
  <si>
    <t>Tabla 12. Costos variables mensuales NEXIA - operación productiva año 1</t>
  </si>
  <si>
    <t>Tabla 14. Proyección de costos variables a 5 años (operación productiva)</t>
  </si>
  <si>
    <t>Año</t>
  </si>
  <si>
    <t>Solicitudes</t>
  </si>
  <si>
    <t>Factor</t>
  </si>
  <si>
    <t>KYC Didit (cobradas)</t>
  </si>
  <si>
    <t>Otros variables</t>
  </si>
  <si>
    <t>Total Costos Variables</t>
  </si>
  <si>
    <t>Año 1</t>
  </si>
  <si>
    <t>1.00</t>
  </si>
  <si>
    <t>Año 2</t>
  </si>
  <si>
    <t>1.14</t>
  </si>
  <si>
    <t>Año 3</t>
  </si>
  <si>
    <t>1.29</t>
  </si>
  <si>
    <t>Año 4</t>
  </si>
  <si>
    <t>1.43</t>
  </si>
  <si>
    <t>Año 5</t>
  </si>
  <si>
    <t>1.71</t>
  </si>
  <si>
    <t>328 (83 x 0.33 x 12)</t>
  </si>
  <si>
    <t>666 (1,000 x 0.33 x 2 meses + resto)</t>
  </si>
  <si>
    <t>1,188 (300 x 0.33 x 12)</t>
  </si>
  <si>
    <t>1,584 (400 x 0.33 x 12)</t>
  </si>
  <si>
    <t>2,376 (600 x 0.33 x 12)</t>
  </si>
  <si>
    <t>Tabla 15. Proyección de costos fijos anuales a 5 años</t>
  </si>
  <si>
    <t>Ajuste</t>
  </si>
  <si>
    <t>Costos Fijos Anuales</t>
  </si>
  <si>
    <t>Operacion remota, sin alquiler de oficina</t>
  </si>
  <si>
    <t>Sin cambios en costos fijos</t>
  </si>
  <si>
    <t>Sin cambios adicionales respecto al año 3</t>
  </si>
  <si>
    <t>Sin cambios adicionales respecto al año 4</t>
  </si>
  <si>
    <t>Tabla 16. Presupuesto de implementación NEXIA</t>
  </si>
  <si>
    <t>Concepto de Inversión Inicial</t>
  </si>
  <si>
    <t>Monto</t>
  </si>
  <si>
    <t>Desarrollo del MVP (3 meses de salarios parciales: 2 dev + 1 QA)</t>
  </si>
  <si>
    <t>Licencias anuales de software y herramientas (GitHub Team + Figma Pro)</t>
  </si>
  <si>
    <t>Marketing inicial y branding (logo, identidad visual, landing page)</t>
  </si>
  <si>
    <t>Gastos legales y registro de marca SENADI</t>
  </si>
  <si>
    <t>Imprevistos (8% del subtotal)</t>
  </si>
  <si>
    <t>TOTAL INVERSION INICIAL</t>
  </si>
  <si>
    <t>Equipos de desarrollo (3 laptops 1,200 c/u + 3 monitores 200 c/u)</t>
  </si>
  <si>
    <t>Se incorpora alquiler coworking 150/mes = 1,800/año adicional</t>
  </si>
  <si>
    <t>Concepto capital de trabajo</t>
  </si>
  <si>
    <t>Costo operativo mensual con planes gratuitos (salarios + internet + electricidad + marketing)</t>
  </si>
  <si>
    <t>Capital de trabajo para 3 meses</t>
  </si>
  <si>
    <t>Tabla 17. Capital de trabajo</t>
  </si>
  <si>
    <t>INVERSION TOTAL REQUERIDA (11,145 + 3,960)</t>
  </si>
  <si>
    <t>Tabla 18. Proyección de ingresos año 1 — escenario base NEXIA</t>
  </si>
  <si>
    <t>Precio Unitario Promedio</t>
  </si>
  <si>
    <t>Ingresos Anuales (Año 1)</t>
  </si>
  <si>
    <t>Suscripción mensual promedio ponderado (mix de planes)</t>
  </si>
  <si>
    <t>INGRESOS TOTALES ANUALES AÑO 1 (escenario base gradual)</t>
  </si>
  <si>
    <t>Ingresos por transacción (0.50 x 7,000 solicitudes)</t>
  </si>
  <si>
    <t>Servicios de implementación y soporte (2 clientes x 1,250 prom.) 2,500 único + 200/mes</t>
  </si>
  <si>
    <t>2,500 único + 200/mes</t>
  </si>
  <si>
    <t>Tabla 19. Costo Volumen Utilidad</t>
  </si>
  <si>
    <t>COSTO VOLUMEN UTILIDAD</t>
  </si>
  <si>
    <t>VALOR</t>
  </si>
  <si>
    <t>82.4%</t>
  </si>
  <si>
    <t>Costo Fijo Anual Año 1</t>
  </si>
  <si>
    <t>Costo Variable Unitario Equivalente (por solicitud procesada, Año 1: 3,687 / 7,000)</t>
  </si>
  <si>
    <t>solicitudes/año</t>
  </si>
  <si>
    <t>Tabla 20. Proyección de demanda NEXIA a 5 años</t>
  </si>
  <si>
    <t>Costos Variables</t>
  </si>
  <si>
    <t>Total de costos variables anuales</t>
  </si>
  <si>
    <t>Mano de Obra Tecnica (2 dev + 1 QA parcial)</t>
  </si>
  <si>
    <t>CIF (hosting, herramientas, marketing)</t>
  </si>
  <si>
    <t>Gastos de Sueldos Administrativos (QA soporte)</t>
  </si>
  <si>
    <t>Gastos de energía eléctrica</t>
  </si>
  <si>
    <t>Gastos Software y Licencias (Vercel+Render+Supabase+GitHub)</t>
  </si>
  <si>
    <t>Alquiler Oficina/Coworking</t>
  </si>
  <si>
    <t>AÑO 1</t>
  </si>
  <si>
    <t>AÑO 2</t>
  </si>
  <si>
    <t>AÑO 3</t>
  </si>
  <si>
    <t>AÑO 4</t>
  </si>
  <si>
    <t>AÑO 5</t>
  </si>
  <si>
    <t>15% Participacion de trabajadores</t>
  </si>
  <si>
    <t>Utilidad antes de impuesto a la renta</t>
  </si>
  <si>
    <t>Préstamo bancario</t>
  </si>
  <si>
    <t>Inversión en activos</t>
  </si>
  <si>
    <t>Flujo Neto</t>
  </si>
  <si>
    <t>Factor Descuento (15%)</t>
  </si>
  <si>
    <t>Flujo Descontado</t>
  </si>
  <si>
    <t>Margen de Contribucion (23,000 - 3,687)</t>
  </si>
  <si>
    <t>Razon de Margen de Contribucion (17,313 / 23,000)</t>
  </si>
  <si>
    <t>Precio Promedio por Solicitud Equivalente (23,000 / 7,000)</t>
  </si>
  <si>
    <t>Punto de Equilibrio: 24,456 / (3.00 - 0.53) = 8864 solicitudes/año</t>
  </si>
  <si>
    <t>Ventas Anuales proyectadas (Año 1)</t>
  </si>
  <si>
    <t xml:space="preserve">Costos Variables Totales Año 1 </t>
  </si>
  <si>
    <t>Tabla 21. Flujo de caja proyectado NEXIA — escenario de 5 años</t>
  </si>
  <si>
    <t>Tabla 21. Flujo de caja proyectado NEXIA</t>
  </si>
  <si>
    <t xml:space="preserve">VAN TOTAL </t>
  </si>
  <si>
    <t>Flujo Neto Acelerado</t>
  </si>
  <si>
    <t xml:space="preserve">VAN TOTAL (3 clientes año 1, crecimiento agresivo) </t>
  </si>
  <si>
    <t xml:space="preserve">Tabla 23.Flujo de caja proyectado NEXIA acelerado con el cálculo del TIR en Excel </t>
  </si>
  <si>
    <t>Tabla 24. Flujo de caja proyectado NEXIA</t>
  </si>
  <si>
    <t>Conclusión financiera</t>
  </si>
  <si>
    <t>NEXIA requiere una inversión inicial de $15.105. Gracias al uso de servicios gratuitos como Didit para verificaciones KYC, Google Gemini 2.5 Flash y plataformas cloud en sus planes gratuitos (Supabase, GitHub, Vercel, Render, Figma y Brevo), los costos operativos reales son menores a los estimados inicialmente.
En el escenario base, el proyecto obtiene un VAN de -$1.880,80 y una TIR de 6%, resultados inferiores a la tasa de descuento del 15%, por lo que no alcanza la rentabilidad esperada. Sin embargo, en el escenario acelerado, mediante una mayor captación de clientes y crecimiento de ingresos recurrentes, el proyecto alcanza un VAN de $15.134,79 y una TIR de 75%, superando ampliamente la tasa de descuento y demostrando su viabilidad financiera. En consecuencia, la rentabilidad de NEXIA dependerá principalmente de la ejecución de su estrategia comercial y de su capacidad para captar y retener clientes durante los primeros años de funcionamiento.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</si>
</sst>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#,##0.00;[Red]&quot;$&quot;\-#,##0.00"/>
    <numFmt numFmtId="165" formatCode="0.0"/>
    <numFmt numFmtId="166" formatCode="0.000"/>
    <numFmt numFmtId="167" formatCode="_-* #,##0.00\ _€_-;\-* #,##0.00\ _€_-;_-* &quot;-&quot;??\ _€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63">
    <xf numFmtId="0" fontId="0" fillId="0" borderId="0" xfId="0"/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4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left" vertical="center" wrapText="1" indent="4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9" fontId="2" fillId="0" borderId="0" xfId="0" applyNumberFormat="1" applyFont="1" applyAlignment="1">
      <alignment horizontal="left" vertical="center" wrapText="1" indent="4"/>
    </xf>
    <xf numFmtId="9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9" fontId="3" fillId="0" borderId="4" xfId="0" applyNumberFormat="1" applyFont="1" applyBorder="1" applyAlignment="1">
      <alignment vertical="center" wrapText="1"/>
    </xf>
    <xf numFmtId="9" fontId="3" fillId="0" borderId="0" xfId="0" applyNumberFormat="1" applyFont="1" applyAlignment="1">
      <alignment vertical="center" wrapText="1"/>
    </xf>
    <xf numFmtId="9" fontId="3" fillId="0" borderId="3" xfId="0" applyNumberFormat="1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1" fillId="0" borderId="0" xfId="0" applyFont="1"/>
    <xf numFmtId="0" fontId="1" fillId="0" borderId="5" xfId="0" applyFont="1" applyBorder="1"/>
    <xf numFmtId="0" fontId="1" fillId="0" borderId="5" xfId="0" applyFont="1" applyBorder="1" applyAlignment="1">
      <alignment wrapText="1"/>
    </xf>
    <xf numFmtId="0" fontId="1" fillId="0" borderId="0" xfId="0" applyFont="1" applyAlignment="1">
      <alignment wrapText="1"/>
    </xf>
    <xf numFmtId="0" fontId="7" fillId="0" borderId="0" xfId="0" applyFont="1" applyFill="1" applyBorder="1" applyAlignment="1">
      <alignment wrapText="1"/>
    </xf>
    <xf numFmtId="0" fontId="2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7" fillId="0" borderId="5" xfId="0" applyFont="1" applyBorder="1" applyAlignment="1">
      <alignment wrapText="1"/>
    </xf>
    <xf numFmtId="9" fontId="3" fillId="0" borderId="5" xfId="0" applyNumberFormat="1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9" fontId="3" fillId="0" borderId="0" xfId="0" applyNumberFormat="1" applyFont="1" applyBorder="1" applyAlignment="1">
      <alignment vertical="center" wrapText="1"/>
    </xf>
    <xf numFmtId="166" fontId="3" fillId="0" borderId="5" xfId="0" applyNumberFormat="1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7" fillId="0" borderId="5" xfId="0" applyFont="1" applyBorder="1"/>
    <xf numFmtId="3" fontId="3" fillId="0" borderId="0" xfId="0" applyNumberFormat="1" applyFont="1" applyAlignment="1">
      <alignment vertical="center" wrapText="1"/>
    </xf>
    <xf numFmtId="0" fontId="1" fillId="0" borderId="0" xfId="0" applyFont="1" applyBorder="1"/>
    <xf numFmtId="0" fontId="3" fillId="0" borderId="0" xfId="0" applyFont="1" applyBorder="1" applyAlignment="1">
      <alignment vertical="center" wrapText="1"/>
    </xf>
    <xf numFmtId="1" fontId="3" fillId="0" borderId="5" xfId="0" applyNumberFormat="1" applyFont="1" applyBorder="1" applyAlignment="1">
      <alignment vertical="center" wrapText="1"/>
    </xf>
    <xf numFmtId="43" fontId="3" fillId="0" borderId="5" xfId="1" applyFont="1" applyBorder="1" applyAlignment="1">
      <alignment vertical="center" wrapText="1"/>
    </xf>
    <xf numFmtId="167" fontId="3" fillId="0" borderId="5" xfId="0" applyNumberFormat="1" applyFont="1" applyBorder="1" applyAlignment="1">
      <alignment vertical="center" wrapText="1"/>
    </xf>
    <xf numFmtId="167" fontId="2" fillId="0" borderId="5" xfId="0" applyNumberFormat="1" applyFont="1" applyBorder="1" applyAlignment="1">
      <alignment vertical="center" wrapText="1"/>
    </xf>
    <xf numFmtId="167" fontId="3" fillId="0" borderId="0" xfId="0" applyNumberFormat="1" applyFont="1" applyBorder="1" applyAlignment="1">
      <alignment vertical="center" wrapText="1"/>
    </xf>
    <xf numFmtId="167" fontId="2" fillId="0" borderId="0" xfId="0" applyNumberFormat="1" applyFont="1" applyBorder="1" applyAlignment="1">
      <alignment vertical="center" wrapText="1"/>
    </xf>
    <xf numFmtId="9" fontId="1" fillId="0" borderId="0" xfId="0" applyNumberFormat="1" applyFont="1"/>
    <xf numFmtId="165" fontId="1" fillId="0" borderId="0" xfId="0" applyNumberFormat="1" applyFont="1"/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top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7D51-2812-49F2-9B4B-B2F4CC489086}">
  <dimension ref="A2:C7"/>
  <sheetViews>
    <sheetView zoomScale="96" zoomScaleNormal="96" workbookViewId="0">
      <selection activeCell="B6" sqref="B6"/>
    </sheetView>
  </sheetViews>
  <sheetFormatPr baseColWidth="10" defaultRowHeight="15" x14ac:dyDescent="0.25"/>
  <cols>
    <col min="1" max="1" width="21.140625" customWidth="1"/>
    <col min="2" max="2" width="23" customWidth="1"/>
    <col min="3" max="3" width="41.7109375" customWidth="1"/>
  </cols>
  <sheetData>
    <row r="2" spans="1:3" x14ac:dyDescent="0.25">
      <c r="A2" t="s">
        <v>196</v>
      </c>
    </row>
    <row r="3" spans="1:3" ht="15.75" x14ac:dyDescent="0.25">
      <c r="A3" s="34" t="s">
        <v>18</v>
      </c>
      <c r="B3" s="34" t="s">
        <v>19</v>
      </c>
      <c r="C3" s="34" t="s">
        <v>20</v>
      </c>
    </row>
    <row r="4" spans="1:3" ht="124.5" customHeight="1" x14ac:dyDescent="0.25">
      <c r="A4" s="35" t="s">
        <v>21</v>
      </c>
      <c r="B4" s="35">
        <v>47</v>
      </c>
      <c r="C4" s="35" t="s">
        <v>22</v>
      </c>
    </row>
    <row r="5" spans="1:3" ht="118.5" customHeight="1" x14ac:dyDescent="0.25">
      <c r="A5" s="35" t="s">
        <v>23</v>
      </c>
      <c r="B5" s="35">
        <v>25</v>
      </c>
      <c r="C5" s="35" t="s">
        <v>24</v>
      </c>
    </row>
    <row r="6" spans="1:3" ht="83.25" customHeight="1" x14ac:dyDescent="0.25">
      <c r="A6" s="35" t="s">
        <v>25</v>
      </c>
      <c r="B6" s="35">
        <v>400</v>
      </c>
      <c r="C6" s="35" t="s">
        <v>26</v>
      </c>
    </row>
    <row r="7" spans="1:3" ht="74.25" customHeight="1" x14ac:dyDescent="0.25">
      <c r="A7" s="35" t="s">
        <v>27</v>
      </c>
      <c r="B7" s="34">
        <f>B4+B5+B6</f>
        <v>472</v>
      </c>
      <c r="C7" s="34" t="s">
        <v>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E901-B45A-42A1-8BC4-7C2F69AA6F19}">
  <dimension ref="A2:D18"/>
  <sheetViews>
    <sheetView topLeftCell="A13" zoomScale="78" zoomScaleNormal="78" workbookViewId="0">
      <selection activeCell="A14" sqref="A14"/>
    </sheetView>
  </sheetViews>
  <sheetFormatPr baseColWidth="10" defaultRowHeight="15" x14ac:dyDescent="0.25"/>
  <cols>
    <col min="1" max="1" width="37.28515625" style="29" customWidth="1"/>
    <col min="2" max="2" width="22" style="29" customWidth="1"/>
    <col min="3" max="3" width="19.85546875" style="29" customWidth="1"/>
    <col min="4" max="4" width="29.85546875" style="29" customWidth="1"/>
    <col min="5" max="16384" width="11.42578125" style="29"/>
  </cols>
  <sheetData>
    <row r="2" spans="1:4" ht="15.75" thickBot="1" x14ac:dyDescent="0.3">
      <c r="A2" s="29" t="s">
        <v>29</v>
      </c>
    </row>
    <row r="3" spans="1:4" ht="16.5" thickBot="1" x14ac:dyDescent="0.3">
      <c r="A3" s="21" t="s">
        <v>30</v>
      </c>
      <c r="B3" s="21" t="s">
        <v>20</v>
      </c>
      <c r="C3" s="21" t="s">
        <v>31</v>
      </c>
      <c r="D3" s="21" t="s">
        <v>32</v>
      </c>
    </row>
    <row r="4" spans="1:4" ht="135" customHeight="1" thickBot="1" x14ac:dyDescent="0.3">
      <c r="A4" s="22" t="s">
        <v>33</v>
      </c>
      <c r="B4" s="23" t="s">
        <v>34</v>
      </c>
      <c r="C4" s="23" t="s">
        <v>35</v>
      </c>
      <c r="D4" s="25">
        <v>0.6</v>
      </c>
    </row>
    <row r="5" spans="1:4" ht="151.5" customHeight="1" thickBot="1" x14ac:dyDescent="0.3">
      <c r="A5" s="6" t="s">
        <v>36</v>
      </c>
      <c r="B5" s="19" t="s">
        <v>37</v>
      </c>
      <c r="C5" s="19" t="s">
        <v>38</v>
      </c>
      <c r="D5" s="26">
        <v>0.25</v>
      </c>
    </row>
    <row r="6" spans="1:4" ht="147" customHeight="1" thickBot="1" x14ac:dyDescent="0.3">
      <c r="A6" s="21" t="s">
        <v>39</v>
      </c>
      <c r="B6" s="24" t="s">
        <v>40</v>
      </c>
      <c r="C6" s="24" t="s">
        <v>41</v>
      </c>
      <c r="D6" s="27">
        <v>0.15</v>
      </c>
    </row>
    <row r="8" spans="1:4" ht="31.5" x14ac:dyDescent="0.25">
      <c r="A8" s="28" t="s">
        <v>42</v>
      </c>
    </row>
    <row r="9" spans="1:4" x14ac:dyDescent="0.25">
      <c r="A9" s="30" t="s">
        <v>43</v>
      </c>
      <c r="B9" s="30" t="s">
        <v>44</v>
      </c>
      <c r="C9" s="30" t="s">
        <v>45</v>
      </c>
      <c r="D9" s="30" t="s">
        <v>46</v>
      </c>
    </row>
    <row r="10" spans="1:4" s="32" customFormat="1" ht="45" x14ac:dyDescent="0.25">
      <c r="A10" s="31" t="s">
        <v>47</v>
      </c>
      <c r="B10" s="31" t="s">
        <v>48</v>
      </c>
      <c r="C10" s="31" t="s">
        <v>49</v>
      </c>
      <c r="D10" s="31" t="s">
        <v>50</v>
      </c>
    </row>
    <row r="11" spans="1:4" s="32" customFormat="1" ht="45" x14ac:dyDescent="0.25">
      <c r="A11" s="31" t="s">
        <v>51</v>
      </c>
      <c r="B11" s="31" t="s">
        <v>52</v>
      </c>
      <c r="C11" s="31" t="s">
        <v>53</v>
      </c>
      <c r="D11" s="31" t="s">
        <v>54</v>
      </c>
    </row>
    <row r="12" spans="1:4" s="32" customFormat="1" ht="45" x14ac:dyDescent="0.25">
      <c r="A12" s="31" t="s">
        <v>55</v>
      </c>
      <c r="B12" s="31" t="s">
        <v>56</v>
      </c>
      <c r="C12" s="31" t="s">
        <v>57</v>
      </c>
      <c r="D12" s="31" t="s">
        <v>58</v>
      </c>
    </row>
    <row r="14" spans="1:4" x14ac:dyDescent="0.25">
      <c r="A14" s="33" t="s">
        <v>59</v>
      </c>
    </row>
    <row r="15" spans="1:4" ht="31.5" x14ac:dyDescent="0.25">
      <c r="A15" s="34" t="s">
        <v>43</v>
      </c>
      <c r="B15" s="34" t="s">
        <v>44</v>
      </c>
      <c r="C15" s="34" t="s">
        <v>45</v>
      </c>
    </row>
    <row r="16" spans="1:4" ht="31.5" x14ac:dyDescent="0.25">
      <c r="A16" s="35" t="s">
        <v>47</v>
      </c>
      <c r="B16" s="35" t="s">
        <v>60</v>
      </c>
      <c r="C16" s="35" t="s">
        <v>49</v>
      </c>
    </row>
    <row r="17" spans="1:3" ht="31.5" x14ac:dyDescent="0.25">
      <c r="A17" s="35" t="s">
        <v>51</v>
      </c>
      <c r="B17" s="35" t="s">
        <v>61</v>
      </c>
      <c r="C17" s="35" t="s">
        <v>53</v>
      </c>
    </row>
    <row r="18" spans="1:3" ht="15.75" x14ac:dyDescent="0.25">
      <c r="A18" s="35" t="s">
        <v>55</v>
      </c>
      <c r="B18" s="35" t="s">
        <v>62</v>
      </c>
      <c r="C18" s="35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87CD-0114-4264-A311-6C9423479466}">
  <dimension ref="A2:E31"/>
  <sheetViews>
    <sheetView topLeftCell="A26" workbookViewId="0">
      <selection activeCell="B29" sqref="B29"/>
    </sheetView>
  </sheetViews>
  <sheetFormatPr baseColWidth="10" defaultRowHeight="15" x14ac:dyDescent="0.25"/>
  <cols>
    <col min="1" max="1" width="23.7109375" style="29" customWidth="1"/>
    <col min="2" max="2" width="23.5703125" style="29" customWidth="1"/>
    <col min="3" max="3" width="29" style="29" customWidth="1"/>
    <col min="4" max="16384" width="11.42578125" style="29"/>
  </cols>
  <sheetData>
    <row r="2" spans="1:5" x14ac:dyDescent="0.25">
      <c r="A2" s="29" t="s">
        <v>197</v>
      </c>
    </row>
    <row r="3" spans="1:5" ht="29.25" x14ac:dyDescent="0.25">
      <c r="A3" s="36" t="s">
        <v>63</v>
      </c>
      <c r="B3" s="36" t="s">
        <v>64</v>
      </c>
      <c r="C3" s="36" t="s">
        <v>65</v>
      </c>
      <c r="D3" s="36" t="s">
        <v>66</v>
      </c>
      <c r="E3" s="36" t="s">
        <v>67</v>
      </c>
    </row>
    <row r="4" spans="1:5" ht="45" x14ac:dyDescent="0.25">
      <c r="A4" s="31" t="s">
        <v>68</v>
      </c>
      <c r="B4" s="31" t="s">
        <v>69</v>
      </c>
      <c r="C4" s="31">
        <v>3</v>
      </c>
      <c r="D4" s="31">
        <v>1200</v>
      </c>
      <c r="E4" s="31">
        <f>C4*D4</f>
        <v>3600</v>
      </c>
    </row>
    <row r="5" spans="1:5" x14ac:dyDescent="0.25">
      <c r="A5" s="31" t="s">
        <v>68</v>
      </c>
      <c r="B5" s="31" t="s">
        <v>70</v>
      </c>
      <c r="C5" s="31">
        <v>3</v>
      </c>
      <c r="D5" s="31">
        <v>200</v>
      </c>
      <c r="E5" s="31">
        <f>C5*D5</f>
        <v>600</v>
      </c>
    </row>
    <row r="6" spans="1:5" ht="45" x14ac:dyDescent="0.25">
      <c r="A6" s="31" t="s">
        <v>68</v>
      </c>
      <c r="B6" s="31" t="s">
        <v>72</v>
      </c>
      <c r="C6" s="31">
        <v>3</v>
      </c>
      <c r="D6" s="31">
        <v>400</v>
      </c>
      <c r="E6" s="31">
        <f t="shared" ref="E6:E13" si="0">C6*D6</f>
        <v>1200</v>
      </c>
    </row>
    <row r="7" spans="1:5" ht="45" x14ac:dyDescent="0.25">
      <c r="A7" s="31" t="s">
        <v>73</v>
      </c>
      <c r="B7" s="31" t="s">
        <v>74</v>
      </c>
      <c r="C7" s="31">
        <v>1</v>
      </c>
      <c r="D7" s="31">
        <v>500</v>
      </c>
      <c r="E7" s="31">
        <f t="shared" si="0"/>
        <v>500</v>
      </c>
    </row>
    <row r="8" spans="1:5" ht="30" x14ac:dyDescent="0.25">
      <c r="A8" s="31" t="s">
        <v>75</v>
      </c>
      <c r="B8" s="31" t="s">
        <v>76</v>
      </c>
      <c r="C8" s="31">
        <v>1</v>
      </c>
      <c r="D8" s="31">
        <v>300</v>
      </c>
      <c r="E8" s="31">
        <f>C8*D8</f>
        <v>300</v>
      </c>
    </row>
    <row r="9" spans="1:5" x14ac:dyDescent="0.25">
      <c r="A9" s="31" t="s">
        <v>77</v>
      </c>
      <c r="B9" s="31" t="s">
        <v>78</v>
      </c>
      <c r="C9" s="31">
        <v>1</v>
      </c>
      <c r="D9" s="31">
        <v>400</v>
      </c>
      <c r="E9" s="31">
        <f t="shared" si="0"/>
        <v>400</v>
      </c>
    </row>
    <row r="10" spans="1:5" ht="30" x14ac:dyDescent="0.25">
      <c r="A10" s="31" t="s">
        <v>77</v>
      </c>
      <c r="B10" s="31" t="s">
        <v>79</v>
      </c>
      <c r="C10" s="31">
        <v>1</v>
      </c>
      <c r="D10" s="31">
        <v>200</v>
      </c>
      <c r="E10" s="31">
        <f t="shared" si="0"/>
        <v>200</v>
      </c>
    </row>
    <row r="11" spans="1:5" ht="60" x14ac:dyDescent="0.25">
      <c r="A11" s="31" t="s">
        <v>80</v>
      </c>
      <c r="B11" s="31" t="s">
        <v>84</v>
      </c>
      <c r="C11" s="31">
        <v>3</v>
      </c>
      <c r="D11" s="31">
        <v>48</v>
      </c>
      <c r="E11" s="31">
        <f t="shared" si="0"/>
        <v>144</v>
      </c>
    </row>
    <row r="12" spans="1:5" ht="60" x14ac:dyDescent="0.25">
      <c r="A12" s="31" t="s">
        <v>80</v>
      </c>
      <c r="B12" s="31" t="s">
        <v>85</v>
      </c>
      <c r="C12" s="31">
        <v>2</v>
      </c>
      <c r="D12" s="31">
        <v>180</v>
      </c>
      <c r="E12" s="31">
        <f t="shared" si="0"/>
        <v>360</v>
      </c>
    </row>
    <row r="13" spans="1:5" ht="30" x14ac:dyDescent="0.25">
      <c r="A13" s="31" t="s">
        <v>81</v>
      </c>
      <c r="B13" s="31" t="s">
        <v>82</v>
      </c>
      <c r="C13" s="31">
        <v>3</v>
      </c>
      <c r="D13" s="31">
        <v>100</v>
      </c>
      <c r="E13" s="31">
        <f t="shared" si="0"/>
        <v>300</v>
      </c>
    </row>
    <row r="14" spans="1:5" ht="30" x14ac:dyDescent="0.25">
      <c r="A14" s="31" t="s">
        <v>83</v>
      </c>
      <c r="B14" s="31"/>
      <c r="C14" s="31"/>
      <c r="D14" s="31"/>
      <c r="E14" s="31">
        <f>SUM(E4:E13)</f>
        <v>7604</v>
      </c>
    </row>
    <row r="16" spans="1:5" x14ac:dyDescent="0.25">
      <c r="A16" s="29" t="s">
        <v>198</v>
      </c>
    </row>
    <row r="17" spans="1:3" ht="15.75" x14ac:dyDescent="0.25">
      <c r="A17" s="34" t="s">
        <v>86</v>
      </c>
      <c r="B17" s="34" t="s">
        <v>87</v>
      </c>
      <c r="C17" s="34" t="s">
        <v>88</v>
      </c>
    </row>
    <row r="18" spans="1:3" ht="63" x14ac:dyDescent="0.25">
      <c r="A18" s="35" t="s">
        <v>89</v>
      </c>
      <c r="B18" s="35" t="s">
        <v>90</v>
      </c>
      <c r="C18" s="35" t="s">
        <v>91</v>
      </c>
    </row>
    <row r="19" spans="1:3" ht="63" x14ac:dyDescent="0.25">
      <c r="A19" s="35" t="s">
        <v>92</v>
      </c>
      <c r="B19" s="35" t="s">
        <v>93</v>
      </c>
      <c r="C19" s="35" t="s">
        <v>94</v>
      </c>
    </row>
    <row r="20" spans="1:3" ht="63" x14ac:dyDescent="0.25">
      <c r="A20" s="35" t="s">
        <v>95</v>
      </c>
      <c r="B20" s="35" t="s">
        <v>96</v>
      </c>
      <c r="C20" s="35" t="s">
        <v>97</v>
      </c>
    </row>
    <row r="21" spans="1:3" ht="47.25" x14ac:dyDescent="0.25">
      <c r="A21" s="35" t="s">
        <v>98</v>
      </c>
      <c r="B21" s="35" t="s">
        <v>99</v>
      </c>
      <c r="C21" s="35" t="s">
        <v>100</v>
      </c>
    </row>
    <row r="22" spans="1:3" ht="78.75" x14ac:dyDescent="0.25">
      <c r="A22" s="35" t="s">
        <v>101</v>
      </c>
      <c r="B22" s="35" t="s">
        <v>102</v>
      </c>
      <c r="C22" s="35" t="s">
        <v>103</v>
      </c>
    </row>
    <row r="23" spans="1:3" ht="63" x14ac:dyDescent="0.25">
      <c r="A23" s="35" t="s">
        <v>104</v>
      </c>
      <c r="B23" s="35" t="s">
        <v>105</v>
      </c>
      <c r="C23" s="35" t="s">
        <v>106</v>
      </c>
    </row>
    <row r="24" spans="1:3" ht="110.25" x14ac:dyDescent="0.25">
      <c r="A24" s="35" t="s">
        <v>107</v>
      </c>
      <c r="B24" s="35" t="s">
        <v>108</v>
      </c>
      <c r="C24" s="35" t="s">
        <v>109</v>
      </c>
    </row>
    <row r="25" spans="1:3" ht="94.5" x14ac:dyDescent="0.25">
      <c r="A25" s="35" t="s">
        <v>110</v>
      </c>
      <c r="B25" s="35" t="s">
        <v>111</v>
      </c>
      <c r="C25" s="35" t="s">
        <v>112</v>
      </c>
    </row>
    <row r="27" spans="1:3" x14ac:dyDescent="0.25">
      <c r="A27" s="29" t="s">
        <v>199</v>
      </c>
    </row>
    <row r="28" spans="1:3" ht="31.5" x14ac:dyDescent="0.25">
      <c r="A28" s="34" t="s">
        <v>113</v>
      </c>
      <c r="B28" s="34" t="s">
        <v>114</v>
      </c>
      <c r="C28" s="34" t="s">
        <v>115</v>
      </c>
    </row>
    <row r="29" spans="1:3" ht="47.25" x14ac:dyDescent="0.25">
      <c r="A29" s="35" t="s">
        <v>116</v>
      </c>
      <c r="B29" s="35" t="s">
        <v>117</v>
      </c>
      <c r="C29" s="35" t="s">
        <v>118</v>
      </c>
    </row>
    <row r="30" spans="1:3" ht="47.25" x14ac:dyDescent="0.25">
      <c r="A30" s="35" t="s">
        <v>119</v>
      </c>
      <c r="B30" s="35" t="s">
        <v>120</v>
      </c>
      <c r="C30" s="35" t="s">
        <v>121</v>
      </c>
    </row>
    <row r="31" spans="1:3" ht="31.5" x14ac:dyDescent="0.25">
      <c r="A31" s="35" t="s">
        <v>122</v>
      </c>
      <c r="B31" s="35" t="s">
        <v>123</v>
      </c>
      <c r="C31" s="35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EDB25-49EE-4527-B5FC-611461C12026}">
  <dimension ref="A1:C5"/>
  <sheetViews>
    <sheetView workbookViewId="0">
      <selection activeCell="B3" sqref="B3"/>
    </sheetView>
  </sheetViews>
  <sheetFormatPr baseColWidth="10" defaultRowHeight="15" x14ac:dyDescent="0.25"/>
  <cols>
    <col min="1" max="2" width="11.42578125" style="29"/>
    <col min="3" max="3" width="17.28515625" style="29" customWidth="1"/>
    <col min="4" max="16384" width="11.42578125" style="29"/>
  </cols>
  <sheetData>
    <row r="1" spans="1:3" x14ac:dyDescent="0.25">
      <c r="A1" s="29" t="s">
        <v>200</v>
      </c>
    </row>
    <row r="2" spans="1:3" ht="43.5" x14ac:dyDescent="0.25">
      <c r="A2" s="36" t="s">
        <v>125</v>
      </c>
      <c r="B2" s="36" t="s">
        <v>114</v>
      </c>
      <c r="C2" s="36" t="s">
        <v>20</v>
      </c>
    </row>
    <row r="3" spans="1:3" ht="60" x14ac:dyDescent="0.25">
      <c r="A3" s="31" t="s">
        <v>126</v>
      </c>
      <c r="B3" s="31" t="s">
        <v>117</v>
      </c>
      <c r="C3" s="31" t="s">
        <v>127</v>
      </c>
    </row>
    <row r="4" spans="1:3" ht="60" x14ac:dyDescent="0.25">
      <c r="A4" s="31" t="s">
        <v>128</v>
      </c>
      <c r="B4" s="31" t="s">
        <v>129</v>
      </c>
      <c r="C4" s="31" t="s">
        <v>130</v>
      </c>
    </row>
    <row r="5" spans="1:3" ht="60" x14ac:dyDescent="0.25">
      <c r="A5" s="31" t="s">
        <v>131</v>
      </c>
      <c r="B5" s="31" t="s">
        <v>71</v>
      </c>
      <c r="C5" s="31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6D56-91B6-4E24-86A3-7AC5C6BC5159}">
  <dimension ref="A1:E28"/>
  <sheetViews>
    <sheetView topLeftCell="A23" workbookViewId="0">
      <selection activeCell="E33" sqref="E33"/>
    </sheetView>
  </sheetViews>
  <sheetFormatPr baseColWidth="10" defaultRowHeight="15" x14ac:dyDescent="0.25"/>
  <cols>
    <col min="1" max="1" width="21.28515625" customWidth="1"/>
    <col min="2" max="2" width="27.85546875" customWidth="1"/>
    <col min="3" max="3" width="16.28515625" customWidth="1"/>
    <col min="4" max="4" width="14.7109375" customWidth="1"/>
    <col min="5" max="5" width="17.7109375" customWidth="1"/>
  </cols>
  <sheetData>
    <row r="1" spans="1:5" ht="60" x14ac:dyDescent="0.25">
      <c r="A1" s="20" t="s">
        <v>202</v>
      </c>
    </row>
    <row r="2" spans="1:5" ht="47.25" x14ac:dyDescent="0.25">
      <c r="A2" s="34" t="s">
        <v>140</v>
      </c>
      <c r="B2" s="34" t="s">
        <v>141</v>
      </c>
      <c r="C2" s="34" t="s">
        <v>142</v>
      </c>
      <c r="D2" s="34" t="s">
        <v>134</v>
      </c>
      <c r="E2" s="34" t="s">
        <v>135</v>
      </c>
    </row>
    <row r="3" spans="1:5" ht="63" x14ac:dyDescent="0.25">
      <c r="A3" s="35" t="s">
        <v>143</v>
      </c>
      <c r="B3" s="35" t="s">
        <v>156</v>
      </c>
      <c r="C3" s="35" t="s">
        <v>144</v>
      </c>
      <c r="D3" s="35">
        <v>27</v>
      </c>
      <c r="E3" s="35">
        <f>D3*12</f>
        <v>324</v>
      </c>
    </row>
    <row r="4" spans="1:5" ht="47.25" x14ac:dyDescent="0.25">
      <c r="A4" s="35" t="s">
        <v>145</v>
      </c>
      <c r="B4" s="35" t="s">
        <v>157</v>
      </c>
      <c r="C4" s="35" t="s">
        <v>146</v>
      </c>
      <c r="D4" s="35">
        <v>117</v>
      </c>
      <c r="E4" s="35">
        <f t="shared" ref="E4:E9" si="0">D4*12</f>
        <v>1404</v>
      </c>
    </row>
    <row r="5" spans="1:5" ht="47.25" x14ac:dyDescent="0.25">
      <c r="A5" s="35" t="s">
        <v>147</v>
      </c>
      <c r="B5" s="35" t="s">
        <v>158</v>
      </c>
      <c r="C5" s="35" t="s">
        <v>159</v>
      </c>
      <c r="D5" s="35">
        <v>9</v>
      </c>
      <c r="E5" s="35">
        <f t="shared" si="0"/>
        <v>108</v>
      </c>
    </row>
    <row r="6" spans="1:5" ht="63" x14ac:dyDescent="0.25">
      <c r="A6" s="35" t="s">
        <v>148</v>
      </c>
      <c r="B6" s="35" t="s">
        <v>160</v>
      </c>
      <c r="C6" s="35" t="s">
        <v>149</v>
      </c>
      <c r="D6" s="35">
        <v>0.28999999999999998</v>
      </c>
      <c r="E6" s="35">
        <f>D6*12</f>
        <v>3.4799999999999995</v>
      </c>
    </row>
    <row r="7" spans="1:5" ht="47.25" x14ac:dyDescent="0.25">
      <c r="A7" s="35" t="s">
        <v>150</v>
      </c>
      <c r="B7" s="35" t="s">
        <v>161</v>
      </c>
      <c r="C7" s="35" t="s">
        <v>151</v>
      </c>
      <c r="D7" s="35">
        <v>0</v>
      </c>
      <c r="E7" s="35">
        <f t="shared" si="0"/>
        <v>0</v>
      </c>
    </row>
    <row r="8" spans="1:5" ht="47.25" x14ac:dyDescent="0.25">
      <c r="A8" s="35" t="s">
        <v>152</v>
      </c>
      <c r="B8" s="35" t="s">
        <v>162</v>
      </c>
      <c r="C8" s="35" t="s">
        <v>153</v>
      </c>
      <c r="D8" s="35">
        <v>0</v>
      </c>
      <c r="E8" s="35">
        <f t="shared" si="0"/>
        <v>0</v>
      </c>
    </row>
    <row r="9" spans="1:5" ht="78.75" x14ac:dyDescent="0.25">
      <c r="A9" s="35" t="s">
        <v>154</v>
      </c>
      <c r="B9" s="35" t="s">
        <v>163</v>
      </c>
      <c r="C9" s="35" t="s">
        <v>164</v>
      </c>
      <c r="D9" s="35">
        <v>154</v>
      </c>
      <c r="E9" s="35">
        <f t="shared" si="0"/>
        <v>1848</v>
      </c>
    </row>
    <row r="10" spans="1:5" ht="63" x14ac:dyDescent="0.25">
      <c r="A10" s="35" t="s">
        <v>155</v>
      </c>
      <c r="B10" s="35"/>
      <c r="C10" s="35"/>
      <c r="D10" s="34">
        <f>SUM(D3:D9)</f>
        <v>307.28999999999996</v>
      </c>
      <c r="E10" s="34">
        <f>SUM(E3:E9)</f>
        <v>3687.48</v>
      </c>
    </row>
    <row r="12" spans="1:5" ht="63" x14ac:dyDescent="0.25">
      <c r="A12" s="38" t="s">
        <v>195</v>
      </c>
    </row>
    <row r="13" spans="1:5" ht="31.5" x14ac:dyDescent="0.25">
      <c r="A13" s="34" t="s">
        <v>165</v>
      </c>
      <c r="B13" s="34" t="s">
        <v>166</v>
      </c>
      <c r="C13" s="34" t="s">
        <v>134</v>
      </c>
      <c r="D13" s="34" t="s">
        <v>135</v>
      </c>
    </row>
    <row r="14" spans="1:5" ht="31.5" x14ac:dyDescent="0.25">
      <c r="A14" s="35" t="s">
        <v>167</v>
      </c>
      <c r="B14" s="35" t="s">
        <v>192</v>
      </c>
      <c r="C14" s="35">
        <v>20</v>
      </c>
      <c r="D14" s="35">
        <f t="shared" ref="D14:D23" si="1">C14*12</f>
        <v>240</v>
      </c>
    </row>
    <row r="15" spans="1:5" ht="47.25" x14ac:dyDescent="0.25">
      <c r="A15" s="35" t="s">
        <v>168</v>
      </c>
      <c r="B15" s="35" t="s">
        <v>188</v>
      </c>
      <c r="C15" s="35">
        <v>13</v>
      </c>
      <c r="D15" s="35">
        <f t="shared" si="1"/>
        <v>156</v>
      </c>
    </row>
    <row r="16" spans="1:5" ht="31.5" x14ac:dyDescent="0.25">
      <c r="A16" s="35" t="s">
        <v>169</v>
      </c>
      <c r="B16" s="35" t="s">
        <v>193</v>
      </c>
      <c r="C16" s="35">
        <v>25</v>
      </c>
      <c r="D16" s="35">
        <f t="shared" si="1"/>
        <v>300</v>
      </c>
    </row>
    <row r="17" spans="1:4" ht="31.5" x14ac:dyDescent="0.25">
      <c r="A17" s="35" t="s">
        <v>170</v>
      </c>
      <c r="B17" s="35" t="s">
        <v>194</v>
      </c>
      <c r="C17" s="35">
        <v>12</v>
      </c>
      <c r="D17" s="35">
        <f t="shared" si="1"/>
        <v>144</v>
      </c>
    </row>
    <row r="18" spans="1:4" ht="47.25" x14ac:dyDescent="0.25">
      <c r="A18" s="35" t="s">
        <v>171</v>
      </c>
      <c r="B18" s="35" t="s">
        <v>189</v>
      </c>
      <c r="C18" s="35">
        <v>30</v>
      </c>
      <c r="D18" s="35">
        <f t="shared" si="1"/>
        <v>360</v>
      </c>
    </row>
    <row r="19" spans="1:4" ht="47.25" x14ac:dyDescent="0.25">
      <c r="A19" s="35" t="s">
        <v>172</v>
      </c>
      <c r="B19" s="35" t="s">
        <v>190</v>
      </c>
      <c r="C19" s="35">
        <v>18</v>
      </c>
      <c r="D19" s="35">
        <f t="shared" si="1"/>
        <v>216</v>
      </c>
    </row>
    <row r="20" spans="1:4" ht="47.25" x14ac:dyDescent="0.25">
      <c r="A20" s="35" t="s">
        <v>173</v>
      </c>
      <c r="B20" s="35" t="s">
        <v>174</v>
      </c>
      <c r="C20" s="35">
        <v>30</v>
      </c>
      <c r="D20" s="35">
        <f t="shared" si="1"/>
        <v>360</v>
      </c>
    </row>
    <row r="21" spans="1:4" ht="47.25" x14ac:dyDescent="0.25">
      <c r="A21" s="35" t="s">
        <v>175</v>
      </c>
      <c r="B21" s="35" t="s">
        <v>176</v>
      </c>
      <c r="C21" s="35">
        <v>40</v>
      </c>
      <c r="D21" s="35">
        <f t="shared" si="1"/>
        <v>480</v>
      </c>
    </row>
    <row r="22" spans="1:4" ht="47.25" x14ac:dyDescent="0.25">
      <c r="A22" s="35" t="s">
        <v>177</v>
      </c>
      <c r="B22" s="35" t="s">
        <v>191</v>
      </c>
      <c r="C22" s="35">
        <v>0</v>
      </c>
      <c r="D22" s="35">
        <f t="shared" si="1"/>
        <v>0</v>
      </c>
    </row>
    <row r="23" spans="1:4" ht="47.25" x14ac:dyDescent="0.25">
      <c r="A23" s="35" t="s">
        <v>178</v>
      </c>
      <c r="B23" s="35" t="s">
        <v>179</v>
      </c>
      <c r="C23" s="35">
        <v>600</v>
      </c>
      <c r="D23" s="35">
        <f t="shared" si="1"/>
        <v>7200</v>
      </c>
    </row>
    <row r="24" spans="1:4" ht="47.25" x14ac:dyDescent="0.25">
      <c r="A24" s="35" t="s">
        <v>180</v>
      </c>
      <c r="B24" s="35" t="s">
        <v>179</v>
      </c>
      <c r="C24" s="35">
        <v>600</v>
      </c>
      <c r="D24" s="35">
        <f>C24*12</f>
        <v>7200</v>
      </c>
    </row>
    <row r="25" spans="1:4" ht="47.25" x14ac:dyDescent="0.25">
      <c r="A25" s="35" t="s">
        <v>181</v>
      </c>
      <c r="B25" s="35" t="s">
        <v>182</v>
      </c>
      <c r="C25" s="35">
        <v>400</v>
      </c>
      <c r="D25" s="35">
        <f t="shared" ref="D25:D27" si="2">C25*12</f>
        <v>4800</v>
      </c>
    </row>
    <row r="26" spans="1:4" ht="63" x14ac:dyDescent="0.25">
      <c r="A26" s="35" t="s">
        <v>183</v>
      </c>
      <c r="B26" s="35" t="s">
        <v>184</v>
      </c>
      <c r="C26" s="35">
        <v>200</v>
      </c>
      <c r="D26" s="35">
        <f t="shared" si="2"/>
        <v>2400</v>
      </c>
    </row>
    <row r="27" spans="1:4" ht="47.25" x14ac:dyDescent="0.25">
      <c r="A27" s="35" t="s">
        <v>185</v>
      </c>
      <c r="B27" s="35" t="s">
        <v>186</v>
      </c>
      <c r="C27" s="35">
        <v>50</v>
      </c>
      <c r="D27" s="35">
        <f t="shared" si="2"/>
        <v>600</v>
      </c>
    </row>
    <row r="28" spans="1:4" ht="31.5" x14ac:dyDescent="0.25">
      <c r="A28" s="35" t="s">
        <v>187</v>
      </c>
      <c r="B28" s="35"/>
      <c r="C28" s="34">
        <f>SUM(C14:C27)</f>
        <v>2038</v>
      </c>
      <c r="D28" s="34">
        <f>SUM(D14:D27)</f>
        <v>24456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FCF9-31CC-4CDC-948D-2ACE41DF75BF}">
  <dimension ref="A1:L21"/>
  <sheetViews>
    <sheetView topLeftCell="A16" workbookViewId="0">
      <selection activeCell="B18" sqref="B18"/>
    </sheetView>
  </sheetViews>
  <sheetFormatPr baseColWidth="10" defaultRowHeight="15" x14ac:dyDescent="0.25"/>
  <cols>
    <col min="1" max="10" width="11.42578125" style="29"/>
    <col min="11" max="11" width="37" style="29" customWidth="1"/>
    <col min="12" max="12" width="29" style="29" customWidth="1"/>
    <col min="13" max="16384" width="11.42578125" style="29"/>
  </cols>
  <sheetData>
    <row r="1" spans="1:12" x14ac:dyDescent="0.25">
      <c r="A1" s="29" t="s">
        <v>201</v>
      </c>
    </row>
    <row r="2" spans="1:12" ht="31.5" x14ac:dyDescent="0.25">
      <c r="A2" s="34" t="s">
        <v>133</v>
      </c>
      <c r="B2" s="34" t="s">
        <v>134</v>
      </c>
      <c r="C2" s="34" t="s">
        <v>135</v>
      </c>
      <c r="D2" s="34" t="s">
        <v>136</v>
      </c>
      <c r="E2" s="39"/>
      <c r="K2" s="29" t="s">
        <v>232</v>
      </c>
    </row>
    <row r="3" spans="1:12" ht="15.75" x14ac:dyDescent="0.25">
      <c r="A3" s="35" t="s">
        <v>137</v>
      </c>
      <c r="B3" s="35">
        <f>'Preguntas adicionales a EC'!C28</f>
        <v>2038</v>
      </c>
      <c r="C3" s="35">
        <f>'Preguntas adicionales a EC'!D28</f>
        <v>24456</v>
      </c>
      <c r="D3" s="37">
        <v>0.87</v>
      </c>
      <c r="E3" s="40"/>
      <c r="K3" s="34" t="s">
        <v>233</v>
      </c>
      <c r="L3" s="34" t="s">
        <v>234</v>
      </c>
    </row>
    <row r="4" spans="1:12" ht="31.5" x14ac:dyDescent="0.25">
      <c r="A4" s="35" t="s">
        <v>138</v>
      </c>
      <c r="B4" s="35">
        <f>'Preguntas adicionales a EC'!D10</f>
        <v>307.28999999999996</v>
      </c>
      <c r="C4" s="35">
        <f>'Preguntas adicionales a EC'!E10</f>
        <v>3687.48</v>
      </c>
      <c r="D4" s="37">
        <v>0.13</v>
      </c>
      <c r="E4" s="40"/>
      <c r="K4" s="35" t="s">
        <v>235</v>
      </c>
      <c r="L4" s="35">
        <v>4800</v>
      </c>
    </row>
    <row r="5" spans="1:12" ht="47.25" x14ac:dyDescent="0.25">
      <c r="A5" s="35" t="s">
        <v>139</v>
      </c>
      <c r="B5" s="35">
        <f>SUM(B3:B4)</f>
        <v>2345.29</v>
      </c>
      <c r="C5" s="35">
        <f>SUM(C3:C4)</f>
        <v>28143.48</v>
      </c>
      <c r="D5" s="37">
        <v>1</v>
      </c>
      <c r="E5" s="40"/>
      <c r="K5" s="35" t="s">
        <v>241</v>
      </c>
      <c r="L5" s="35">
        <v>4200</v>
      </c>
    </row>
    <row r="6" spans="1:12" ht="47.25" x14ac:dyDescent="0.25">
      <c r="K6" s="35" t="s">
        <v>236</v>
      </c>
      <c r="L6" s="35">
        <v>504</v>
      </c>
    </row>
    <row r="7" spans="1:12" ht="110.25" customHeight="1" x14ac:dyDescent="0.25">
      <c r="A7" s="55" t="s">
        <v>203</v>
      </c>
      <c r="B7" s="55"/>
      <c r="K7" s="35" t="s">
        <v>237</v>
      </c>
      <c r="L7" s="35">
        <v>500</v>
      </c>
    </row>
    <row r="8" spans="1:12" ht="47.25" x14ac:dyDescent="0.25">
      <c r="A8" s="34" t="s">
        <v>204</v>
      </c>
      <c r="B8" s="34" t="s">
        <v>205</v>
      </c>
      <c r="C8" s="34" t="s">
        <v>206</v>
      </c>
      <c r="D8" s="34" t="s">
        <v>207</v>
      </c>
      <c r="E8" s="34"/>
      <c r="F8" s="34" t="s">
        <v>208</v>
      </c>
      <c r="G8" s="34" t="s">
        <v>209</v>
      </c>
      <c r="K8" s="35" t="s">
        <v>238</v>
      </c>
      <c r="L8" s="35">
        <v>300</v>
      </c>
    </row>
    <row r="9" spans="1:12" ht="31.5" x14ac:dyDescent="0.25">
      <c r="A9" s="35" t="s">
        <v>210</v>
      </c>
      <c r="B9" s="35">
        <v>7000</v>
      </c>
      <c r="C9" s="35" t="s">
        <v>211</v>
      </c>
      <c r="D9" s="35" t="s">
        <v>220</v>
      </c>
      <c r="E9" s="35">
        <f>83*0.33*12</f>
        <v>328.68</v>
      </c>
      <c r="F9" s="35">
        <v>3359</v>
      </c>
      <c r="G9" s="35">
        <f>SUM(E9:F9)</f>
        <v>3687.68</v>
      </c>
      <c r="K9" s="30" t="s">
        <v>239</v>
      </c>
      <c r="L9" s="30">
        <v>841</v>
      </c>
    </row>
    <row r="10" spans="1:12" ht="63" x14ac:dyDescent="0.25">
      <c r="A10" s="35" t="s">
        <v>212</v>
      </c>
      <c r="B10" s="35">
        <v>8000</v>
      </c>
      <c r="C10" s="35" t="s">
        <v>213</v>
      </c>
      <c r="D10" s="35" t="s">
        <v>221</v>
      </c>
      <c r="E10" s="35">
        <v>666</v>
      </c>
      <c r="F10" s="35">
        <v>3838</v>
      </c>
      <c r="G10" s="35">
        <f t="shared" ref="G10:G13" si="0">SUM(E10:F10)</f>
        <v>4504</v>
      </c>
      <c r="K10" s="30" t="s">
        <v>240</v>
      </c>
      <c r="L10" s="30">
        <f>SUM(L4:L9)</f>
        <v>11145</v>
      </c>
    </row>
    <row r="11" spans="1:12" ht="47.25" x14ac:dyDescent="0.25">
      <c r="A11" s="35" t="s">
        <v>214</v>
      </c>
      <c r="B11" s="35">
        <v>9000</v>
      </c>
      <c r="C11" s="35" t="s">
        <v>215</v>
      </c>
      <c r="D11" s="35" t="s">
        <v>222</v>
      </c>
      <c r="E11" s="35">
        <f>300*0.33*12</f>
        <v>1188</v>
      </c>
      <c r="F11" s="35">
        <v>4317</v>
      </c>
      <c r="G11" s="35">
        <f t="shared" si="0"/>
        <v>5505</v>
      </c>
      <c r="K11" s="29" t="s">
        <v>246</v>
      </c>
    </row>
    <row r="12" spans="1:12" ht="47.25" x14ac:dyDescent="0.25">
      <c r="A12" s="35" t="s">
        <v>216</v>
      </c>
      <c r="B12" s="35">
        <v>10000</v>
      </c>
      <c r="C12" s="35" t="s">
        <v>217</v>
      </c>
      <c r="D12" s="35" t="s">
        <v>223</v>
      </c>
      <c r="E12" s="35">
        <f>400*0.33*12</f>
        <v>1584</v>
      </c>
      <c r="F12" s="35">
        <v>4796</v>
      </c>
      <c r="G12" s="35">
        <f t="shared" si="0"/>
        <v>6380</v>
      </c>
      <c r="K12" s="34" t="s">
        <v>243</v>
      </c>
      <c r="L12" s="34" t="s">
        <v>234</v>
      </c>
    </row>
    <row r="13" spans="1:12" ht="47.25" x14ac:dyDescent="0.25">
      <c r="A13" s="35" t="s">
        <v>218</v>
      </c>
      <c r="B13" s="35">
        <v>12000</v>
      </c>
      <c r="C13" s="35" t="s">
        <v>219</v>
      </c>
      <c r="D13" s="35" t="s">
        <v>224</v>
      </c>
      <c r="E13" s="35">
        <f>600*0.33*12</f>
        <v>2376</v>
      </c>
      <c r="F13" s="35">
        <v>5754</v>
      </c>
      <c r="G13" s="35">
        <f t="shared" si="0"/>
        <v>8130</v>
      </c>
      <c r="K13" s="35" t="s">
        <v>244</v>
      </c>
      <c r="L13" s="35">
        <v>1320</v>
      </c>
    </row>
    <row r="14" spans="1:12" ht="15.75" x14ac:dyDescent="0.25">
      <c r="K14" s="35" t="s">
        <v>245</v>
      </c>
      <c r="L14" s="35">
        <v>3960</v>
      </c>
    </row>
    <row r="15" spans="1:12" ht="78.75" x14ac:dyDescent="0.25">
      <c r="A15" s="38" t="s">
        <v>225</v>
      </c>
      <c r="K15" s="35" t="s">
        <v>247</v>
      </c>
      <c r="L15" s="35">
        <f>L10+L14</f>
        <v>15105</v>
      </c>
    </row>
    <row r="16" spans="1:12" s="32" customFormat="1" ht="43.5" x14ac:dyDescent="0.25">
      <c r="A16" s="36" t="s">
        <v>204</v>
      </c>
      <c r="B16" s="36" t="s">
        <v>226</v>
      </c>
      <c r="C16" s="36" t="s">
        <v>227</v>
      </c>
    </row>
    <row r="17" spans="1:3" s="32" customFormat="1" ht="60" x14ac:dyDescent="0.25">
      <c r="A17" s="31" t="s">
        <v>210</v>
      </c>
      <c r="B17" s="31" t="s">
        <v>228</v>
      </c>
      <c r="C17" s="31">
        <v>24.456</v>
      </c>
    </row>
    <row r="18" spans="1:3" s="32" customFormat="1" ht="45" x14ac:dyDescent="0.25">
      <c r="A18" s="31" t="s">
        <v>212</v>
      </c>
      <c r="B18" s="31" t="s">
        <v>229</v>
      </c>
      <c r="C18" s="31">
        <v>24.456</v>
      </c>
    </row>
    <row r="19" spans="1:3" s="32" customFormat="1" ht="105" x14ac:dyDescent="0.25">
      <c r="A19" s="31" t="s">
        <v>214</v>
      </c>
      <c r="B19" s="31" t="s">
        <v>242</v>
      </c>
      <c r="C19" s="31">
        <v>26.256</v>
      </c>
    </row>
    <row r="20" spans="1:3" s="32" customFormat="1" ht="60" x14ac:dyDescent="0.25">
      <c r="A20" s="31" t="s">
        <v>216</v>
      </c>
      <c r="B20" s="31" t="s">
        <v>230</v>
      </c>
      <c r="C20" s="31">
        <v>26.256</v>
      </c>
    </row>
    <row r="21" spans="1:3" s="32" customFormat="1" ht="60" x14ac:dyDescent="0.25">
      <c r="A21" s="31" t="s">
        <v>218</v>
      </c>
      <c r="B21" s="31" t="s">
        <v>231</v>
      </c>
      <c r="C21" s="31">
        <v>26.256</v>
      </c>
    </row>
  </sheetData>
  <mergeCells count="1">
    <mergeCell ref="A7:B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C9B3-9B98-4718-B332-F4131465F0DB}">
  <dimension ref="A1:G28"/>
  <sheetViews>
    <sheetView topLeftCell="A8" workbookViewId="0">
      <selection activeCell="A18" sqref="A18"/>
    </sheetView>
  </sheetViews>
  <sheetFormatPr baseColWidth="10" defaultRowHeight="15" x14ac:dyDescent="0.25"/>
  <cols>
    <col min="1" max="1" width="28.42578125" style="29" customWidth="1"/>
    <col min="2" max="2" width="22" style="29" customWidth="1"/>
    <col min="3" max="5" width="11.42578125" style="29"/>
    <col min="6" max="7" width="25" style="29" customWidth="1"/>
    <col min="8" max="16384" width="11.42578125" style="29"/>
  </cols>
  <sheetData>
    <row r="1" spans="1:7" x14ac:dyDescent="0.25">
      <c r="A1" s="29" t="s">
        <v>248</v>
      </c>
    </row>
    <row r="2" spans="1:7" x14ac:dyDescent="0.25">
      <c r="E2" s="45"/>
      <c r="F2" s="45"/>
      <c r="G2" s="45"/>
    </row>
    <row r="3" spans="1:7" ht="47.25" x14ac:dyDescent="0.25">
      <c r="A3" s="34" t="s">
        <v>18</v>
      </c>
      <c r="B3" s="34" t="s">
        <v>249</v>
      </c>
      <c r="C3" s="34" t="s">
        <v>250</v>
      </c>
      <c r="E3" s="45"/>
      <c r="F3" s="39"/>
      <c r="G3" s="39"/>
    </row>
    <row r="4" spans="1:7" ht="31.5" x14ac:dyDescent="0.25">
      <c r="A4" s="35" t="s">
        <v>251</v>
      </c>
      <c r="B4" s="35">
        <v>850</v>
      </c>
      <c r="C4" s="35">
        <f>B4*12</f>
        <v>10200</v>
      </c>
      <c r="E4" s="45"/>
      <c r="F4" s="46"/>
      <c r="G4" s="46"/>
    </row>
    <row r="5" spans="1:7" ht="31.5" x14ac:dyDescent="0.25">
      <c r="A5" s="35" t="s">
        <v>253</v>
      </c>
      <c r="B5" s="35">
        <v>0.5</v>
      </c>
      <c r="C5" s="35">
        <f>0.5*7000</f>
        <v>3500</v>
      </c>
      <c r="E5" s="45"/>
      <c r="F5" s="46"/>
      <c r="G5" s="46"/>
    </row>
    <row r="6" spans="1:7" ht="47.25" x14ac:dyDescent="0.25">
      <c r="A6" s="35" t="s">
        <v>254</v>
      </c>
      <c r="B6" s="35" t="s">
        <v>255</v>
      </c>
      <c r="C6" s="35">
        <f>2500+(200*12)</f>
        <v>4900</v>
      </c>
      <c r="E6" s="45"/>
      <c r="F6" s="46"/>
      <c r="G6" s="46"/>
    </row>
    <row r="7" spans="1:7" ht="47.25" x14ac:dyDescent="0.25">
      <c r="A7" s="35" t="s">
        <v>252</v>
      </c>
      <c r="B7" s="35"/>
      <c r="C7" s="41">
        <v>18.7</v>
      </c>
      <c r="E7" s="45"/>
      <c r="F7" s="45"/>
      <c r="G7" s="45"/>
    </row>
    <row r="8" spans="1:7" x14ac:dyDescent="0.25">
      <c r="E8" s="45"/>
      <c r="F8" s="45"/>
      <c r="G8" s="45"/>
    </row>
    <row r="9" spans="1:7" x14ac:dyDescent="0.25">
      <c r="A9" s="29" t="s">
        <v>256</v>
      </c>
    </row>
    <row r="10" spans="1:7" ht="31.5" x14ac:dyDescent="0.25">
      <c r="A10" s="34" t="s">
        <v>257</v>
      </c>
      <c r="B10" s="34" t="s">
        <v>258</v>
      </c>
    </row>
    <row r="11" spans="1:7" ht="31.5" x14ac:dyDescent="0.25">
      <c r="A11" s="35" t="s">
        <v>288</v>
      </c>
      <c r="B11" s="35">
        <v>23000</v>
      </c>
    </row>
    <row r="12" spans="1:7" ht="31.5" x14ac:dyDescent="0.25">
      <c r="A12" s="35" t="s">
        <v>289</v>
      </c>
      <c r="B12" s="35">
        <f>'Estructura de costos'!C4</f>
        <v>3687.48</v>
      </c>
    </row>
    <row r="13" spans="1:7" ht="31.5" x14ac:dyDescent="0.25">
      <c r="A13" s="35" t="s">
        <v>284</v>
      </c>
      <c r="B13" s="35">
        <f>B11-B12</f>
        <v>19312.52</v>
      </c>
    </row>
    <row r="14" spans="1:7" ht="47.25" x14ac:dyDescent="0.25">
      <c r="A14" s="35" t="s">
        <v>285</v>
      </c>
      <c r="B14" s="35">
        <f>B13/B11</f>
        <v>0.83967478260869566</v>
      </c>
      <c r="C14" s="35" t="s">
        <v>259</v>
      </c>
    </row>
    <row r="15" spans="1:7" ht="15.75" x14ac:dyDescent="0.25">
      <c r="A15" s="35" t="s">
        <v>260</v>
      </c>
      <c r="B15" s="35">
        <f>'Estructura de costos'!C3</f>
        <v>24456</v>
      </c>
    </row>
    <row r="16" spans="1:7" ht="63" x14ac:dyDescent="0.25">
      <c r="A16" s="35" t="s">
        <v>261</v>
      </c>
      <c r="B16" s="35">
        <f>B12/'Estructura de costos'!B9</f>
        <v>0.52678285714285711</v>
      </c>
    </row>
    <row r="17" spans="1:3" ht="31.5" x14ac:dyDescent="0.25">
      <c r="A17" s="35" t="s">
        <v>286</v>
      </c>
      <c r="B17" s="35">
        <f>B11/'Estructura de costos'!B9</f>
        <v>3.2857142857142856</v>
      </c>
    </row>
    <row r="18" spans="1:3" ht="47.25" x14ac:dyDescent="0.25">
      <c r="A18" s="35" t="s">
        <v>287</v>
      </c>
      <c r="B18" s="35">
        <f>B15/(B17-B16)</f>
        <v>8864.3014997524915</v>
      </c>
      <c r="C18" s="29" t="s">
        <v>262</v>
      </c>
    </row>
    <row r="22" spans="1:3" ht="15.75" x14ac:dyDescent="0.25">
      <c r="A22" s="42" t="s">
        <v>263</v>
      </c>
    </row>
    <row r="23" spans="1:3" x14ac:dyDescent="0.25">
      <c r="A23" s="43" t="str">
        <f>'Estructura de costos'!A8</f>
        <v>Año</v>
      </c>
      <c r="B23" s="43" t="str">
        <f>'Estructura de costos'!B8</f>
        <v>Solicitudes</v>
      </c>
    </row>
    <row r="24" spans="1:3" x14ac:dyDescent="0.25">
      <c r="A24" s="30" t="str">
        <f>'Estructura de costos'!A9</f>
        <v>Año 1</v>
      </c>
      <c r="B24" s="30">
        <f>'Estructura de costos'!B9</f>
        <v>7000</v>
      </c>
    </row>
    <row r="25" spans="1:3" x14ac:dyDescent="0.25">
      <c r="A25" s="30" t="str">
        <f>'Estructura de costos'!A10</f>
        <v>Año 2</v>
      </c>
      <c r="B25" s="30">
        <f>'Estructura de costos'!B10</f>
        <v>8000</v>
      </c>
    </row>
    <row r="26" spans="1:3" x14ac:dyDescent="0.25">
      <c r="A26" s="30" t="str">
        <f>'Estructura de costos'!A11</f>
        <v>Año 3</v>
      </c>
      <c r="B26" s="30">
        <f>'Estructura de costos'!B11</f>
        <v>9000</v>
      </c>
    </row>
    <row r="27" spans="1:3" x14ac:dyDescent="0.25">
      <c r="A27" s="30" t="str">
        <f>'Estructura de costos'!A12</f>
        <v>Año 4</v>
      </c>
      <c r="B27" s="30">
        <f>'Estructura de costos'!B12</f>
        <v>10000</v>
      </c>
    </row>
    <row r="28" spans="1:3" x14ac:dyDescent="0.25">
      <c r="A28" s="30" t="str">
        <f>'Estructura de costos'!A13</f>
        <v>Año 5</v>
      </c>
      <c r="B28" s="30">
        <f>'Estructura de costos'!B13</f>
        <v>12000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04A4-FEC6-4F77-9455-531CD9D91D89}">
  <dimension ref="A1:K47"/>
  <sheetViews>
    <sheetView zoomScale="71" zoomScaleNormal="71" workbookViewId="0">
      <selection activeCell="H13" sqref="H13:H14"/>
    </sheetView>
  </sheetViews>
  <sheetFormatPr baseColWidth="10" defaultRowHeight="15" x14ac:dyDescent="0.25"/>
  <cols>
    <col min="1" max="1" width="47.7109375" style="29" customWidth="1"/>
    <col min="2" max="2" width="17.7109375" style="29" customWidth="1"/>
    <col min="3" max="16384" width="11.42578125" style="29"/>
  </cols>
  <sheetData>
    <row r="1" spans="1:7" ht="15.75" thickBot="1" x14ac:dyDescent="0.3">
      <c r="A1" s="29" t="s">
        <v>290</v>
      </c>
    </row>
    <row r="2" spans="1:7" ht="16.5" thickBot="1" x14ac:dyDescent="0.3">
      <c r="A2" s="59" t="s">
        <v>0</v>
      </c>
      <c r="B2" s="59"/>
      <c r="C2" s="59"/>
      <c r="D2" s="59"/>
      <c r="E2" s="59"/>
      <c r="F2" s="59"/>
      <c r="G2" s="59"/>
    </row>
    <row r="3" spans="1:7" ht="16.5" thickBot="1" x14ac:dyDescent="0.3">
      <c r="A3" s="1"/>
      <c r="B3" s="2" t="s">
        <v>1</v>
      </c>
      <c r="C3" s="3" t="s">
        <v>272</v>
      </c>
      <c r="D3" s="4" t="s">
        <v>273</v>
      </c>
      <c r="E3" s="4" t="s">
        <v>274</v>
      </c>
      <c r="F3" s="3" t="s">
        <v>275</v>
      </c>
      <c r="G3" s="3" t="s">
        <v>276</v>
      </c>
    </row>
    <row r="4" spans="1:7" ht="15.75" x14ac:dyDescent="0.25">
      <c r="A4" s="19" t="s">
        <v>2</v>
      </c>
      <c r="B4" s="5"/>
      <c r="C4" s="17">
        <f>'Proyeccion de ingresos'!B11</f>
        <v>23000</v>
      </c>
      <c r="D4" s="17">
        <f>+C4+3000</f>
        <v>26000</v>
      </c>
      <c r="E4" s="17">
        <f>+D4+3000</f>
        <v>29000</v>
      </c>
      <c r="F4" s="17">
        <f>+E4+3000</f>
        <v>32000</v>
      </c>
      <c r="G4" s="17">
        <f>+F4+6000</f>
        <v>38000</v>
      </c>
    </row>
    <row r="5" spans="1:7" ht="15.75" x14ac:dyDescent="0.25">
      <c r="A5" s="19" t="s">
        <v>264</v>
      </c>
      <c r="B5" s="16"/>
      <c r="C5" s="10"/>
      <c r="D5" s="10"/>
      <c r="E5" s="10"/>
      <c r="F5" s="10"/>
      <c r="G5" s="10"/>
    </row>
    <row r="6" spans="1:7" ht="15.75" x14ac:dyDescent="0.25">
      <c r="A6" s="19" t="s">
        <v>265</v>
      </c>
      <c r="B6" s="16"/>
      <c r="C6" s="17">
        <f>'Preguntas adicionales a EC'!E10</f>
        <v>3687.48</v>
      </c>
      <c r="D6" s="17">
        <f>'Estructura de costos'!G10</f>
        <v>4504</v>
      </c>
      <c r="E6" s="17">
        <f>'Estructura de costos'!G11</f>
        <v>5505</v>
      </c>
      <c r="F6" s="17">
        <f>'Estructura de costos'!G12</f>
        <v>6380</v>
      </c>
      <c r="G6" s="17">
        <f>'Estructura de costos'!G13</f>
        <v>8130</v>
      </c>
    </row>
    <row r="7" spans="1:7" ht="15.75" x14ac:dyDescent="0.25">
      <c r="A7" s="19" t="s">
        <v>266</v>
      </c>
      <c r="B7" s="16"/>
      <c r="C7" s="17">
        <v>7200</v>
      </c>
      <c r="D7" s="17">
        <v>7200</v>
      </c>
      <c r="E7" s="17">
        <v>7200</v>
      </c>
      <c r="F7" s="17">
        <v>7200</v>
      </c>
      <c r="G7" s="17">
        <v>7200</v>
      </c>
    </row>
    <row r="8" spans="1:7" ht="15.75" x14ac:dyDescent="0.25">
      <c r="A8" s="19" t="s">
        <v>267</v>
      </c>
      <c r="B8" s="16"/>
      <c r="C8" s="17">
        <v>4068</v>
      </c>
      <c r="D8" s="17">
        <v>4068</v>
      </c>
      <c r="E8" s="17">
        <v>5868</v>
      </c>
      <c r="F8" s="17">
        <v>5868</v>
      </c>
      <c r="G8" s="17">
        <v>5868</v>
      </c>
    </row>
    <row r="9" spans="1:7" ht="15.75" x14ac:dyDescent="0.25">
      <c r="A9" s="19" t="s">
        <v>3</v>
      </c>
      <c r="B9" s="16"/>
      <c r="C9" s="17">
        <f>SUM(C6:C8)</f>
        <v>14955.48</v>
      </c>
      <c r="D9" s="17">
        <f t="shared" ref="D9:F9" si="0">SUM(D6:D8)</f>
        <v>15772</v>
      </c>
      <c r="E9" s="17">
        <f t="shared" si="0"/>
        <v>18573</v>
      </c>
      <c r="F9" s="17">
        <f t="shared" si="0"/>
        <v>19448</v>
      </c>
      <c r="G9" s="17">
        <f>SUM(G6:G8)</f>
        <v>21198</v>
      </c>
    </row>
    <row r="10" spans="1:7" ht="15.75" x14ac:dyDescent="0.25">
      <c r="A10" s="19" t="s">
        <v>4</v>
      </c>
      <c r="B10" s="16"/>
      <c r="C10" s="16"/>
      <c r="D10" s="16"/>
      <c r="E10" s="16"/>
      <c r="F10" s="16"/>
      <c r="G10" s="16"/>
    </row>
    <row r="11" spans="1:7" ht="15.75" x14ac:dyDescent="0.25">
      <c r="A11" s="19" t="s">
        <v>268</v>
      </c>
      <c r="B11" s="16"/>
      <c r="C11" s="17">
        <v>4800</v>
      </c>
      <c r="D11" s="17">
        <v>4800</v>
      </c>
      <c r="E11" s="17">
        <v>4800</v>
      </c>
      <c r="F11" s="17">
        <v>4800</v>
      </c>
      <c r="G11" s="17">
        <v>4800</v>
      </c>
    </row>
    <row r="12" spans="1:7" ht="15.75" x14ac:dyDescent="0.25">
      <c r="A12" s="19" t="s">
        <v>5</v>
      </c>
      <c r="B12" s="16"/>
      <c r="C12" s="18">
        <v>360</v>
      </c>
      <c r="D12" s="18">
        <v>360</v>
      </c>
      <c r="E12" s="18">
        <v>360</v>
      </c>
      <c r="F12" s="18">
        <v>360</v>
      </c>
      <c r="G12" s="18">
        <v>360</v>
      </c>
    </row>
    <row r="13" spans="1:7" ht="15.75" x14ac:dyDescent="0.25">
      <c r="A13" s="19" t="s">
        <v>269</v>
      </c>
      <c r="B13" s="16"/>
      <c r="C13" s="18">
        <v>480</v>
      </c>
      <c r="D13" s="18">
        <v>480</v>
      </c>
      <c r="E13" s="18">
        <v>120</v>
      </c>
      <c r="F13" s="18">
        <v>120</v>
      </c>
      <c r="G13" s="18">
        <v>120</v>
      </c>
    </row>
    <row r="14" spans="1:7" ht="31.5" x14ac:dyDescent="0.25">
      <c r="A14" s="19" t="s">
        <v>270</v>
      </c>
      <c r="B14" s="16"/>
      <c r="C14" s="18">
        <v>840</v>
      </c>
      <c r="D14" s="18">
        <v>840</v>
      </c>
      <c r="E14" s="18">
        <v>840</v>
      </c>
      <c r="F14" s="18">
        <v>840</v>
      </c>
      <c r="G14" s="18">
        <v>840</v>
      </c>
    </row>
    <row r="15" spans="1:7" ht="15.75" x14ac:dyDescent="0.25">
      <c r="A15" s="19" t="s">
        <v>271</v>
      </c>
      <c r="B15" s="16"/>
      <c r="C15" s="17">
        <v>0</v>
      </c>
      <c r="D15" s="17">
        <v>0</v>
      </c>
      <c r="E15" s="17">
        <v>1800</v>
      </c>
      <c r="F15" s="17">
        <v>1800</v>
      </c>
      <c r="G15" s="17">
        <v>1800</v>
      </c>
    </row>
    <row r="16" spans="1:7" ht="15.6" customHeight="1" x14ac:dyDescent="0.25">
      <c r="A16" s="60" t="s">
        <v>6</v>
      </c>
      <c r="B16" s="60"/>
      <c r="C16" s="17">
        <f>SUM(C11:C15)</f>
        <v>6480</v>
      </c>
      <c r="D16" s="17">
        <f>SUM(D11:D15)</f>
        <v>6480</v>
      </c>
      <c r="E16" s="17">
        <f>SUM(E11:E15)</f>
        <v>7920</v>
      </c>
      <c r="F16" s="17">
        <f t="shared" ref="F16:G16" si="1">SUM(F11:F15)</f>
        <v>7920</v>
      </c>
      <c r="G16" s="17">
        <f t="shared" si="1"/>
        <v>7920</v>
      </c>
    </row>
    <row r="17" spans="1:11" ht="31.15" customHeight="1" x14ac:dyDescent="0.25">
      <c r="A17" s="60" t="s">
        <v>7</v>
      </c>
      <c r="B17" s="60"/>
      <c r="C17" s="17">
        <f>+C4-C9-C16</f>
        <v>1564.5200000000004</v>
      </c>
      <c r="D17" s="17">
        <f t="shared" ref="D17:F17" si="2">+D4-D9-D16</f>
        <v>3748</v>
      </c>
      <c r="E17" s="17">
        <f>+E4-E9-E16</f>
        <v>2507</v>
      </c>
      <c r="F17" s="17">
        <f t="shared" si="2"/>
        <v>4632</v>
      </c>
      <c r="G17" s="17">
        <f>+G4-G9-G16</f>
        <v>8882</v>
      </c>
    </row>
    <row r="18" spans="1:11" ht="15.75" x14ac:dyDescent="0.25">
      <c r="A18" s="19" t="s">
        <v>8</v>
      </c>
      <c r="B18" s="5"/>
      <c r="C18" s="18">
        <v>0</v>
      </c>
      <c r="D18" s="18">
        <v>0</v>
      </c>
      <c r="E18" s="18">
        <v>0</v>
      </c>
      <c r="F18" s="18">
        <v>0</v>
      </c>
      <c r="G18" s="18">
        <v>0</v>
      </c>
    </row>
    <row r="19" spans="1:11" ht="15.75" x14ac:dyDescent="0.25">
      <c r="A19" s="60" t="s">
        <v>9</v>
      </c>
      <c r="B19" s="60"/>
      <c r="C19" s="17">
        <f>+C17</f>
        <v>1564.5200000000004</v>
      </c>
      <c r="D19" s="17">
        <f t="shared" ref="D19:F19" si="3">+D17</f>
        <v>3748</v>
      </c>
      <c r="E19" s="17">
        <f t="shared" si="3"/>
        <v>2507</v>
      </c>
      <c r="F19" s="17">
        <f t="shared" si="3"/>
        <v>4632</v>
      </c>
      <c r="G19" s="17">
        <f>+G17</f>
        <v>8882</v>
      </c>
    </row>
    <row r="20" spans="1:11" ht="15.75" x14ac:dyDescent="0.25">
      <c r="A20" s="19" t="s">
        <v>277</v>
      </c>
      <c r="B20" s="16"/>
      <c r="C20" s="44">
        <f>+C19*15/100</f>
        <v>234.67800000000005</v>
      </c>
      <c r="D20" s="44">
        <f t="shared" ref="D20:G20" si="4">+D19*15/100</f>
        <v>562.20000000000005</v>
      </c>
      <c r="E20" s="44">
        <f t="shared" si="4"/>
        <v>376.05</v>
      </c>
      <c r="F20" s="44">
        <f t="shared" si="4"/>
        <v>694.8</v>
      </c>
      <c r="G20" s="44">
        <f t="shared" si="4"/>
        <v>1332.3</v>
      </c>
    </row>
    <row r="21" spans="1:11" ht="15.75" customHeight="1" x14ac:dyDescent="0.25">
      <c r="A21" s="56" t="s">
        <v>278</v>
      </c>
      <c r="B21" s="61"/>
      <c r="C21" s="57">
        <f>+C19-C20</f>
        <v>1329.8420000000003</v>
      </c>
      <c r="D21" s="57">
        <f>+D19-D20</f>
        <v>3185.8</v>
      </c>
      <c r="E21" s="57">
        <f>+E19-E20</f>
        <v>2130.9499999999998</v>
      </c>
      <c r="F21" s="57">
        <f>+F19-F20</f>
        <v>3937.2</v>
      </c>
      <c r="G21" s="57">
        <f>+G19-G20</f>
        <v>7549.7</v>
      </c>
    </row>
    <row r="22" spans="1:11" ht="15.75" customHeight="1" x14ac:dyDescent="0.25">
      <c r="A22" s="56"/>
      <c r="B22" s="61"/>
      <c r="C22" s="58"/>
      <c r="D22" s="58"/>
      <c r="E22" s="58"/>
      <c r="F22" s="58"/>
      <c r="G22" s="58"/>
    </row>
    <row r="23" spans="1:11" ht="15.75" x14ac:dyDescent="0.25">
      <c r="A23" s="19" t="s">
        <v>10</v>
      </c>
      <c r="B23" s="5"/>
      <c r="C23" s="11">
        <f>+C21*25/100</f>
        <v>332.46050000000008</v>
      </c>
      <c r="D23" s="11">
        <f t="shared" ref="D23:G23" si="5">+D21*25/100</f>
        <v>796.45</v>
      </c>
      <c r="E23" s="11">
        <f t="shared" si="5"/>
        <v>532.73749999999995</v>
      </c>
      <c r="F23" s="11">
        <f t="shared" si="5"/>
        <v>984.3</v>
      </c>
      <c r="G23" s="11">
        <f t="shared" si="5"/>
        <v>1887.425</v>
      </c>
    </row>
    <row r="24" spans="1:11" ht="15.75" x14ac:dyDescent="0.25">
      <c r="A24" s="19" t="s">
        <v>11</v>
      </c>
      <c r="B24" s="16"/>
      <c r="C24" s="12">
        <f>+C21-C23</f>
        <v>997.38150000000019</v>
      </c>
      <c r="D24" s="12">
        <f t="shared" ref="D24:G24" si="6">+D21-D23</f>
        <v>2389.3500000000004</v>
      </c>
      <c r="E24" s="12">
        <f t="shared" si="6"/>
        <v>1598.2124999999999</v>
      </c>
      <c r="F24" s="12">
        <f t="shared" si="6"/>
        <v>2952.8999999999996</v>
      </c>
      <c r="G24" s="12">
        <f t="shared" si="6"/>
        <v>5662.2749999999996</v>
      </c>
    </row>
    <row r="25" spans="1:11" ht="15.75" x14ac:dyDescent="0.25">
      <c r="A25" s="19" t="s">
        <v>280</v>
      </c>
      <c r="B25" s="7">
        <v>-8000</v>
      </c>
      <c r="C25" s="10"/>
      <c r="D25" s="10"/>
      <c r="E25" s="10"/>
      <c r="F25" s="10"/>
      <c r="G25" s="10"/>
    </row>
    <row r="26" spans="1:11" ht="15.75" x14ac:dyDescent="0.25">
      <c r="A26" s="19" t="s">
        <v>279</v>
      </c>
      <c r="B26" s="7">
        <v>5000</v>
      </c>
      <c r="C26" s="10"/>
      <c r="D26" s="10"/>
      <c r="E26" s="10"/>
      <c r="F26" s="10"/>
      <c r="G26" s="10"/>
    </row>
    <row r="27" spans="1:11" ht="15.75" x14ac:dyDescent="0.25">
      <c r="A27" s="19" t="s">
        <v>12</v>
      </c>
      <c r="B27" s="16"/>
      <c r="C27" s="18">
        <v>818</v>
      </c>
      <c r="D27" s="11">
        <f>+C27*(1+0.08)^1</f>
        <v>883.44</v>
      </c>
      <c r="E27" s="11">
        <f t="shared" ref="E27:F27" si="7">+D27*(1+0.08)^1</f>
        <v>954.11520000000007</v>
      </c>
      <c r="F27" s="11">
        <f t="shared" si="7"/>
        <v>1030.444416</v>
      </c>
      <c r="G27" s="11">
        <f>+F27*(1+0.08)^1</f>
        <v>1112.8799692800001</v>
      </c>
    </row>
    <row r="28" spans="1:11" ht="15.75" x14ac:dyDescent="0.25">
      <c r="A28" s="19" t="s">
        <v>13</v>
      </c>
      <c r="B28" s="7">
        <f>'Estructura de costos'!L14</f>
        <v>3960</v>
      </c>
      <c r="C28" s="10"/>
      <c r="D28" s="10"/>
      <c r="E28" s="10"/>
      <c r="F28" s="10"/>
      <c r="G28" s="10"/>
    </row>
    <row r="29" spans="1:11" ht="15.75" x14ac:dyDescent="0.25">
      <c r="A29" s="19" t="s">
        <v>14</v>
      </c>
      <c r="B29" s="7">
        <f>+(-8000+5000-3960)</f>
        <v>-6960</v>
      </c>
      <c r="C29" s="11">
        <f>+C24-C27</f>
        <v>179.38150000000019</v>
      </c>
      <c r="D29" s="11">
        <f t="shared" ref="D29:G29" si="8">+D24-D27</f>
        <v>1505.9100000000003</v>
      </c>
      <c r="E29" s="11">
        <f t="shared" si="8"/>
        <v>644.09729999999979</v>
      </c>
      <c r="F29" s="11">
        <f t="shared" si="8"/>
        <v>1922.4555839999996</v>
      </c>
      <c r="G29" s="11">
        <f t="shared" si="8"/>
        <v>4549.3950307199993</v>
      </c>
      <c r="K29" s="53"/>
    </row>
    <row r="30" spans="1:11" ht="15.75" x14ac:dyDescent="0.25">
      <c r="A30" s="6" t="s">
        <v>17</v>
      </c>
      <c r="B30" s="14">
        <v>0.15</v>
      </c>
      <c r="C30" s="16"/>
      <c r="D30" s="16"/>
      <c r="E30" s="16"/>
      <c r="F30" s="16"/>
      <c r="G30" s="16"/>
      <c r="K30" s="54"/>
    </row>
    <row r="31" spans="1:11" ht="15.75" x14ac:dyDescent="0.25">
      <c r="A31" s="6" t="s">
        <v>15</v>
      </c>
      <c r="B31" s="13">
        <f>NPV(B30,C29:G29)+B29</f>
        <v>-1880.8037583059195</v>
      </c>
      <c r="D31" s="16"/>
      <c r="E31" s="16"/>
      <c r="F31" s="16"/>
      <c r="G31" s="16"/>
    </row>
    <row r="32" spans="1:11" ht="16.5" thickBot="1" x14ac:dyDescent="0.3">
      <c r="A32" s="3" t="s">
        <v>16</v>
      </c>
      <c r="B32" s="15">
        <f>IRR(B29:G29)</f>
        <v>6.0485821635803516E-2</v>
      </c>
      <c r="C32" s="1"/>
      <c r="D32" s="1"/>
      <c r="E32" s="1"/>
      <c r="F32" s="1"/>
      <c r="G32" s="1"/>
    </row>
    <row r="33" spans="1:1" x14ac:dyDescent="0.25">
      <c r="A33" s="8"/>
    </row>
    <row r="34" spans="1:1" x14ac:dyDescent="0.25">
      <c r="A34" s="8"/>
    </row>
    <row r="35" spans="1:1" x14ac:dyDescent="0.25">
      <c r="A35" s="8"/>
    </row>
    <row r="36" spans="1:1" x14ac:dyDescent="0.25">
      <c r="A36" s="8"/>
    </row>
    <row r="37" spans="1:1" x14ac:dyDescent="0.25">
      <c r="A37" s="8"/>
    </row>
    <row r="38" spans="1:1" x14ac:dyDescent="0.25">
      <c r="A38" s="8"/>
    </row>
    <row r="39" spans="1:1" x14ac:dyDescent="0.25">
      <c r="A39" s="8"/>
    </row>
    <row r="40" spans="1:1" x14ac:dyDescent="0.25">
      <c r="A40" s="8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8"/>
    </row>
  </sheetData>
  <mergeCells count="11">
    <mergeCell ref="A21:A22"/>
    <mergeCell ref="G21:G22"/>
    <mergeCell ref="A2:G2"/>
    <mergeCell ref="A16:B16"/>
    <mergeCell ref="A17:B17"/>
    <mergeCell ref="A19:B19"/>
    <mergeCell ref="B21:B22"/>
    <mergeCell ref="C21:C22"/>
    <mergeCell ref="D21:D22"/>
    <mergeCell ref="E21:E22"/>
    <mergeCell ref="F21:F22"/>
  </mergeCells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CA1E-B304-4E90-817B-CB021BDD405B}">
  <dimension ref="A1:E9"/>
  <sheetViews>
    <sheetView workbookViewId="0">
      <selection activeCell="D18" sqref="D18"/>
    </sheetView>
  </sheetViews>
  <sheetFormatPr baseColWidth="10" defaultRowHeight="15" x14ac:dyDescent="0.25"/>
  <cols>
    <col min="1" max="1" width="11.42578125" style="29"/>
    <col min="2" max="2" width="24.42578125" style="29" bestFit="1" customWidth="1"/>
    <col min="3" max="3" width="11.42578125" style="29"/>
    <col min="4" max="4" width="17.85546875" style="29" customWidth="1"/>
    <col min="5" max="5" width="13.7109375" style="45" bestFit="1" customWidth="1"/>
    <col min="6" max="16384" width="11.42578125" style="29"/>
  </cols>
  <sheetData>
    <row r="1" spans="1:5" x14ac:dyDescent="0.25">
      <c r="A1" s="29" t="s">
        <v>291</v>
      </c>
    </row>
    <row r="2" spans="1:5" ht="47.25" x14ac:dyDescent="0.25">
      <c r="A2" s="34" t="s">
        <v>204</v>
      </c>
      <c r="B2" s="34" t="s">
        <v>281</v>
      </c>
      <c r="C2" s="34" t="s">
        <v>282</v>
      </c>
      <c r="D2" s="34" t="s">
        <v>283</v>
      </c>
      <c r="E2" s="39"/>
    </row>
    <row r="3" spans="1:5" ht="15.75" x14ac:dyDescent="0.25">
      <c r="A3" s="34">
        <v>0</v>
      </c>
      <c r="B3" s="35">
        <f>FlujoCaja!B29</f>
        <v>-6960</v>
      </c>
      <c r="C3" s="48">
        <f>1/(1+0.15)^A3</f>
        <v>1</v>
      </c>
      <c r="D3" s="49">
        <f>B3*C3</f>
        <v>-6960</v>
      </c>
      <c r="E3" s="46"/>
    </row>
    <row r="4" spans="1:5" ht="15.75" x14ac:dyDescent="0.25">
      <c r="A4" s="34">
        <v>1</v>
      </c>
      <c r="B4" s="47">
        <f>FlujoCaja!C29</f>
        <v>179.38150000000019</v>
      </c>
      <c r="C4" s="48">
        <f t="shared" ref="C4:C8" si="0">1/(1+0.15)^A4</f>
        <v>0.86956521739130443</v>
      </c>
      <c r="D4" s="49">
        <f>B4*C4</f>
        <v>155.98391304347845</v>
      </c>
      <c r="E4" s="51"/>
    </row>
    <row r="5" spans="1:5" ht="15.75" x14ac:dyDescent="0.25">
      <c r="A5" s="34">
        <v>2</v>
      </c>
      <c r="B5" s="47">
        <f>FlujoCaja!D29</f>
        <v>1505.9100000000003</v>
      </c>
      <c r="C5" s="48">
        <f>1/(1+0.15)^A5</f>
        <v>0.7561436672967865</v>
      </c>
      <c r="D5" s="49">
        <f>B5*C5</f>
        <v>1138.6843100189039</v>
      </c>
      <c r="E5" s="51"/>
    </row>
    <row r="6" spans="1:5" ht="15.75" x14ac:dyDescent="0.25">
      <c r="A6" s="34">
        <v>3</v>
      </c>
      <c r="B6" s="47">
        <f>FlujoCaja!E29</f>
        <v>644.09729999999979</v>
      </c>
      <c r="C6" s="48">
        <f>1/(1+0.15)^A6</f>
        <v>0.65751623243198831</v>
      </c>
      <c r="D6" s="49">
        <f t="shared" ref="D6:D7" si="1">B6*C6</f>
        <v>423.50443001561598</v>
      </c>
      <c r="E6" s="51"/>
    </row>
    <row r="7" spans="1:5" ht="15.75" x14ac:dyDescent="0.25">
      <c r="A7" s="34">
        <v>4</v>
      </c>
      <c r="B7" s="47">
        <f>FlujoCaja!F29</f>
        <v>1922.4555839999996</v>
      </c>
      <c r="C7" s="48">
        <f t="shared" si="0"/>
        <v>0.57175324559303342</v>
      </c>
      <c r="D7" s="49">
        <f t="shared" si="1"/>
        <v>1099.1702196604504</v>
      </c>
      <c r="E7" s="51"/>
    </row>
    <row r="8" spans="1:5" ht="15.75" x14ac:dyDescent="0.25">
      <c r="A8" s="34">
        <v>5</v>
      </c>
      <c r="B8" s="47">
        <f>FlujoCaja!G29</f>
        <v>4549.3950307199993</v>
      </c>
      <c r="C8" s="48">
        <f t="shared" si="0"/>
        <v>0.49717673529828987</v>
      </c>
      <c r="D8" s="49">
        <f>B8*C8</f>
        <v>2261.8533689556325</v>
      </c>
      <c r="E8" s="51"/>
    </row>
    <row r="9" spans="1:5" ht="31.5" x14ac:dyDescent="0.25">
      <c r="A9" s="34" t="s">
        <v>292</v>
      </c>
      <c r="B9" s="35"/>
      <c r="C9" s="35"/>
      <c r="D9" s="50">
        <f>D3+(D4)+(D5)+(D6)+D7+(D8)</f>
        <v>-1880.8037583059186</v>
      </c>
      <c r="E9" s="5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82B1-3BBE-4E23-92FF-F2C0F537239C}">
  <dimension ref="A1:K47"/>
  <sheetViews>
    <sheetView zoomScale="71" zoomScaleNormal="71" workbookViewId="0">
      <selection activeCell="I14" sqref="I14"/>
    </sheetView>
  </sheetViews>
  <sheetFormatPr baseColWidth="10" defaultRowHeight="15" x14ac:dyDescent="0.25"/>
  <cols>
    <col min="1" max="1" width="47.7109375" style="29" customWidth="1"/>
    <col min="2" max="2" width="17.7109375" style="29" customWidth="1"/>
    <col min="3" max="16384" width="11.42578125" style="29"/>
  </cols>
  <sheetData>
    <row r="1" spans="1:7" ht="15.75" thickBot="1" x14ac:dyDescent="0.3">
      <c r="A1" s="29" t="s">
        <v>295</v>
      </c>
    </row>
    <row r="2" spans="1:7" ht="16.5" thickBot="1" x14ac:dyDescent="0.3">
      <c r="A2" s="59" t="s">
        <v>0</v>
      </c>
      <c r="B2" s="59"/>
      <c r="C2" s="59"/>
      <c r="D2" s="59"/>
      <c r="E2" s="59"/>
      <c r="F2" s="59"/>
      <c r="G2" s="59"/>
    </row>
    <row r="3" spans="1:7" ht="16.5" thickBot="1" x14ac:dyDescent="0.3">
      <c r="A3" s="1"/>
      <c r="B3" s="2" t="s">
        <v>1</v>
      </c>
      <c r="C3" s="3" t="s">
        <v>272</v>
      </c>
      <c r="D3" s="4" t="s">
        <v>273</v>
      </c>
      <c r="E3" s="4" t="s">
        <v>274</v>
      </c>
      <c r="F3" s="3" t="s">
        <v>275</v>
      </c>
      <c r="G3" s="3" t="s">
        <v>276</v>
      </c>
    </row>
    <row r="4" spans="1:7" ht="15.75" x14ac:dyDescent="0.25">
      <c r="A4" s="19" t="s">
        <v>2</v>
      </c>
      <c r="B4" s="5"/>
      <c r="C4" s="17">
        <v>28000</v>
      </c>
      <c r="D4" s="17">
        <f>35000</f>
        <v>35000</v>
      </c>
      <c r="E4" s="17">
        <f>+D4+3000</f>
        <v>38000</v>
      </c>
      <c r="F4" s="17">
        <f>+E4+3000</f>
        <v>41000</v>
      </c>
      <c r="G4" s="17">
        <f>+F4+6000</f>
        <v>47000</v>
      </c>
    </row>
    <row r="5" spans="1:7" ht="15.75" x14ac:dyDescent="0.25">
      <c r="A5" s="19" t="s">
        <v>264</v>
      </c>
      <c r="B5" s="16"/>
      <c r="C5" s="10"/>
      <c r="D5" s="10"/>
      <c r="E5" s="10"/>
      <c r="F5" s="10"/>
      <c r="G5" s="10"/>
    </row>
    <row r="6" spans="1:7" ht="15.75" x14ac:dyDescent="0.25">
      <c r="A6" s="19" t="s">
        <v>265</v>
      </c>
      <c r="B6" s="16"/>
      <c r="C6" s="17">
        <f>'Preguntas adicionales a EC'!E10</f>
        <v>3687.48</v>
      </c>
      <c r="D6" s="17">
        <f>'Estructura de costos'!G10</f>
        <v>4504</v>
      </c>
      <c r="E6" s="17">
        <f>'Estructura de costos'!G11</f>
        <v>5505</v>
      </c>
      <c r="F6" s="17">
        <f>'Estructura de costos'!G12</f>
        <v>6380</v>
      </c>
      <c r="G6" s="17">
        <f>'Estructura de costos'!G13</f>
        <v>8130</v>
      </c>
    </row>
    <row r="7" spans="1:7" ht="15.75" x14ac:dyDescent="0.25">
      <c r="A7" s="19" t="s">
        <v>266</v>
      </c>
      <c r="B7" s="16"/>
      <c r="C7" s="17">
        <v>7200</v>
      </c>
      <c r="D7" s="17">
        <v>7200</v>
      </c>
      <c r="E7" s="17">
        <v>7200</v>
      </c>
      <c r="F7" s="17">
        <v>7200</v>
      </c>
      <c r="G7" s="17">
        <v>7200</v>
      </c>
    </row>
    <row r="8" spans="1:7" ht="15.75" x14ac:dyDescent="0.25">
      <c r="A8" s="19" t="s">
        <v>267</v>
      </c>
      <c r="B8" s="16"/>
      <c r="C8" s="17">
        <v>4068</v>
      </c>
      <c r="D8" s="17">
        <v>4068</v>
      </c>
      <c r="E8" s="17">
        <v>5868</v>
      </c>
      <c r="F8" s="17">
        <v>5868</v>
      </c>
      <c r="G8" s="17">
        <v>5868</v>
      </c>
    </row>
    <row r="9" spans="1:7" ht="15.75" x14ac:dyDescent="0.25">
      <c r="A9" s="19" t="s">
        <v>3</v>
      </c>
      <c r="B9" s="16"/>
      <c r="C9" s="17">
        <f>SUM(C6:C8)</f>
        <v>14955.48</v>
      </c>
      <c r="D9" s="17">
        <f t="shared" ref="D9:F9" si="0">SUM(D6:D8)</f>
        <v>15772</v>
      </c>
      <c r="E9" s="17">
        <f t="shared" si="0"/>
        <v>18573</v>
      </c>
      <c r="F9" s="17">
        <f t="shared" si="0"/>
        <v>19448</v>
      </c>
      <c r="G9" s="17">
        <f>SUM(G6:G8)</f>
        <v>21198</v>
      </c>
    </row>
    <row r="10" spans="1:7" ht="15.75" x14ac:dyDescent="0.25">
      <c r="A10" s="19" t="s">
        <v>4</v>
      </c>
      <c r="B10" s="16"/>
      <c r="C10" s="16"/>
      <c r="D10" s="16"/>
      <c r="E10" s="16"/>
      <c r="F10" s="16"/>
      <c r="G10" s="16"/>
    </row>
    <row r="11" spans="1:7" ht="15.75" x14ac:dyDescent="0.25">
      <c r="A11" s="19" t="s">
        <v>268</v>
      </c>
      <c r="B11" s="16"/>
      <c r="C11" s="17">
        <v>4800</v>
      </c>
      <c r="D11" s="17">
        <v>4800</v>
      </c>
      <c r="E11" s="17">
        <v>4800</v>
      </c>
      <c r="F11" s="17">
        <v>4800</v>
      </c>
      <c r="G11" s="17">
        <v>4800</v>
      </c>
    </row>
    <row r="12" spans="1:7" ht="15.75" x14ac:dyDescent="0.25">
      <c r="A12" s="19" t="s">
        <v>5</v>
      </c>
      <c r="B12" s="16"/>
      <c r="C12" s="18">
        <v>360</v>
      </c>
      <c r="D12" s="18">
        <v>360</v>
      </c>
      <c r="E12" s="18">
        <v>360</v>
      </c>
      <c r="F12" s="18">
        <v>360</v>
      </c>
      <c r="G12" s="18">
        <v>360</v>
      </c>
    </row>
    <row r="13" spans="1:7" ht="15.75" x14ac:dyDescent="0.25">
      <c r="A13" s="19" t="s">
        <v>269</v>
      </c>
      <c r="B13" s="16"/>
      <c r="C13" s="18">
        <v>480</v>
      </c>
      <c r="D13" s="18">
        <v>480</v>
      </c>
      <c r="E13" s="18">
        <v>120</v>
      </c>
      <c r="F13" s="18">
        <v>120</v>
      </c>
      <c r="G13" s="18">
        <v>120</v>
      </c>
    </row>
    <row r="14" spans="1:7" ht="31.5" x14ac:dyDescent="0.25">
      <c r="A14" s="19" t="s">
        <v>270</v>
      </c>
      <c r="B14" s="16"/>
      <c r="C14" s="18">
        <v>840</v>
      </c>
      <c r="D14" s="18">
        <v>840</v>
      </c>
      <c r="E14" s="18">
        <v>840</v>
      </c>
      <c r="F14" s="18">
        <v>840</v>
      </c>
      <c r="G14" s="18">
        <v>840</v>
      </c>
    </row>
    <row r="15" spans="1:7" ht="15.75" x14ac:dyDescent="0.25">
      <c r="A15" s="19" t="s">
        <v>271</v>
      </c>
      <c r="B15" s="16"/>
      <c r="C15" s="17">
        <v>0</v>
      </c>
      <c r="D15" s="17">
        <v>0</v>
      </c>
      <c r="E15" s="17">
        <v>1800</v>
      </c>
      <c r="F15" s="17">
        <v>1800</v>
      </c>
      <c r="G15" s="17">
        <v>1800</v>
      </c>
    </row>
    <row r="16" spans="1:7" ht="15.6" customHeight="1" x14ac:dyDescent="0.25">
      <c r="A16" s="60" t="s">
        <v>6</v>
      </c>
      <c r="B16" s="60"/>
      <c r="C16" s="17">
        <f>SUM(C11:C15)</f>
        <v>6480</v>
      </c>
      <c r="D16" s="17">
        <f>SUM(D11:D15)</f>
        <v>6480</v>
      </c>
      <c r="E16" s="17">
        <f>SUM(E11:E15)</f>
        <v>7920</v>
      </c>
      <c r="F16" s="17">
        <f t="shared" ref="F16:G16" si="1">SUM(F11:F15)</f>
        <v>7920</v>
      </c>
      <c r="G16" s="17">
        <f t="shared" si="1"/>
        <v>7920</v>
      </c>
    </row>
    <row r="17" spans="1:11" ht="31.15" customHeight="1" x14ac:dyDescent="0.25">
      <c r="A17" s="60" t="s">
        <v>7</v>
      </c>
      <c r="B17" s="60"/>
      <c r="C17" s="17">
        <f>+C4-C9-C16</f>
        <v>6564.52</v>
      </c>
      <c r="D17" s="17">
        <f t="shared" ref="D17:F17" si="2">+D4-D9-D16</f>
        <v>12748</v>
      </c>
      <c r="E17" s="17">
        <f>+E4-E9-E16</f>
        <v>11507</v>
      </c>
      <c r="F17" s="17">
        <f t="shared" si="2"/>
        <v>13632</v>
      </c>
      <c r="G17" s="17">
        <f>+G4-G9-G16</f>
        <v>17882</v>
      </c>
    </row>
    <row r="18" spans="1:11" ht="15.75" x14ac:dyDescent="0.25">
      <c r="A18" s="19" t="s">
        <v>8</v>
      </c>
      <c r="B18" s="5"/>
      <c r="C18" s="18">
        <v>0</v>
      </c>
      <c r="D18" s="18">
        <v>0</v>
      </c>
      <c r="E18" s="18">
        <v>0</v>
      </c>
      <c r="F18" s="18">
        <v>0</v>
      </c>
      <c r="G18" s="18">
        <v>0</v>
      </c>
    </row>
    <row r="19" spans="1:11" ht="15.75" x14ac:dyDescent="0.25">
      <c r="A19" s="60" t="s">
        <v>9</v>
      </c>
      <c r="B19" s="60"/>
      <c r="C19" s="17">
        <f>+C17</f>
        <v>6564.52</v>
      </c>
      <c r="D19" s="17">
        <f t="shared" ref="D19:F19" si="3">+D17</f>
        <v>12748</v>
      </c>
      <c r="E19" s="17">
        <f t="shared" si="3"/>
        <v>11507</v>
      </c>
      <c r="F19" s="17">
        <f t="shared" si="3"/>
        <v>13632</v>
      </c>
      <c r="G19" s="17">
        <f>+G17</f>
        <v>17882</v>
      </c>
    </row>
    <row r="20" spans="1:11" ht="15.75" x14ac:dyDescent="0.25">
      <c r="A20" s="19" t="s">
        <v>277</v>
      </c>
      <c r="B20" s="16"/>
      <c r="C20" s="44">
        <f>+C19*15/100</f>
        <v>984.678</v>
      </c>
      <c r="D20" s="44">
        <f t="shared" ref="D20:G20" si="4">+D19*15/100</f>
        <v>1912.2</v>
      </c>
      <c r="E20" s="44">
        <f t="shared" si="4"/>
        <v>1726.05</v>
      </c>
      <c r="F20" s="44">
        <f t="shared" si="4"/>
        <v>2044.8</v>
      </c>
      <c r="G20" s="44">
        <f t="shared" si="4"/>
        <v>2682.3</v>
      </c>
    </row>
    <row r="21" spans="1:11" ht="15.75" customHeight="1" x14ac:dyDescent="0.25">
      <c r="A21" s="56" t="s">
        <v>278</v>
      </c>
      <c r="B21" s="61"/>
      <c r="C21" s="57">
        <f>+C19-C20</f>
        <v>5579.8420000000006</v>
      </c>
      <c r="D21" s="57">
        <f>+D19-D20</f>
        <v>10835.8</v>
      </c>
      <c r="E21" s="57">
        <f>+E19-E20</f>
        <v>9780.9500000000007</v>
      </c>
      <c r="F21" s="57">
        <f>+F19-F20</f>
        <v>11587.2</v>
      </c>
      <c r="G21" s="57">
        <f>+G19-G20</f>
        <v>15199.7</v>
      </c>
    </row>
    <row r="22" spans="1:11" ht="15.75" customHeight="1" x14ac:dyDescent="0.25">
      <c r="A22" s="56"/>
      <c r="B22" s="61"/>
      <c r="C22" s="58"/>
      <c r="D22" s="58"/>
      <c r="E22" s="58"/>
      <c r="F22" s="58"/>
      <c r="G22" s="58"/>
    </row>
    <row r="23" spans="1:11" ht="15.75" x14ac:dyDescent="0.25">
      <c r="A23" s="19" t="s">
        <v>10</v>
      </c>
      <c r="B23" s="5"/>
      <c r="C23" s="11">
        <f>+C21*25/100</f>
        <v>1394.9605000000001</v>
      </c>
      <c r="D23" s="11">
        <f t="shared" ref="D23:G23" si="5">+D21*25/100</f>
        <v>2708.95</v>
      </c>
      <c r="E23" s="11">
        <f t="shared" si="5"/>
        <v>2445.2375000000002</v>
      </c>
      <c r="F23" s="11">
        <f t="shared" si="5"/>
        <v>2896.8</v>
      </c>
      <c r="G23" s="11">
        <f t="shared" si="5"/>
        <v>3799.9250000000002</v>
      </c>
    </row>
    <row r="24" spans="1:11" ht="15.75" x14ac:dyDescent="0.25">
      <c r="A24" s="19" t="s">
        <v>11</v>
      </c>
      <c r="B24" s="16"/>
      <c r="C24" s="12">
        <f>+C21-C23</f>
        <v>4184.8815000000004</v>
      </c>
      <c r="D24" s="12">
        <f t="shared" ref="D24:G24" si="6">+D21-D23</f>
        <v>8126.8499999999995</v>
      </c>
      <c r="E24" s="12">
        <f t="shared" si="6"/>
        <v>7335.7125000000005</v>
      </c>
      <c r="F24" s="12">
        <f t="shared" si="6"/>
        <v>8690.4000000000015</v>
      </c>
      <c r="G24" s="12">
        <f t="shared" si="6"/>
        <v>11399.775000000001</v>
      </c>
    </row>
    <row r="25" spans="1:11" ht="15.75" x14ac:dyDescent="0.25">
      <c r="A25" s="19" t="s">
        <v>280</v>
      </c>
      <c r="B25" s="7">
        <v>-8000</v>
      </c>
      <c r="C25" s="10"/>
      <c r="D25" s="10"/>
      <c r="E25" s="10"/>
      <c r="F25" s="10"/>
      <c r="G25" s="10"/>
    </row>
    <row r="26" spans="1:11" ht="15.75" x14ac:dyDescent="0.25">
      <c r="A26" s="19" t="s">
        <v>279</v>
      </c>
      <c r="B26" s="7">
        <v>5000</v>
      </c>
      <c r="C26" s="10"/>
      <c r="D26" s="10"/>
      <c r="E26" s="10"/>
      <c r="F26" s="10"/>
      <c r="G26" s="10"/>
    </row>
    <row r="27" spans="1:11" ht="15.75" x14ac:dyDescent="0.25">
      <c r="A27" s="19" t="s">
        <v>12</v>
      </c>
      <c r="B27" s="16"/>
      <c r="C27" s="18">
        <v>818</v>
      </c>
      <c r="D27" s="11">
        <f>+C27*(1+0.08)^1</f>
        <v>883.44</v>
      </c>
      <c r="E27" s="11">
        <f t="shared" ref="E27:F27" si="7">+D27*(1+0.08)^1</f>
        <v>954.11520000000007</v>
      </c>
      <c r="F27" s="11">
        <f t="shared" si="7"/>
        <v>1030.444416</v>
      </c>
      <c r="G27" s="11">
        <f>+F27*(1+0.08)^1</f>
        <v>1112.8799692800001</v>
      </c>
    </row>
    <row r="28" spans="1:11" ht="15.75" x14ac:dyDescent="0.25">
      <c r="A28" s="19" t="s">
        <v>13</v>
      </c>
      <c r="B28" s="7">
        <f>'Estructura de costos'!L14</f>
        <v>3960</v>
      </c>
      <c r="C28" s="10"/>
      <c r="D28" s="10"/>
      <c r="E28" s="10"/>
      <c r="F28" s="10"/>
      <c r="G28" s="10"/>
    </row>
    <row r="29" spans="1:11" ht="15.75" x14ac:dyDescent="0.25">
      <c r="A29" s="19" t="s">
        <v>14</v>
      </c>
      <c r="B29" s="7">
        <f>+(-8000+5000-3960)</f>
        <v>-6960</v>
      </c>
      <c r="C29" s="11">
        <f>+C24-C27</f>
        <v>3366.8815000000004</v>
      </c>
      <c r="D29" s="11">
        <f t="shared" ref="D29:G29" si="8">+D24-D27</f>
        <v>7243.41</v>
      </c>
      <c r="E29" s="11">
        <f t="shared" si="8"/>
        <v>6381.5973000000004</v>
      </c>
      <c r="F29" s="11">
        <f t="shared" si="8"/>
        <v>7659.9555840000012</v>
      </c>
      <c r="G29" s="11">
        <f t="shared" si="8"/>
        <v>10286.895030720001</v>
      </c>
      <c r="K29" s="53"/>
    </row>
    <row r="30" spans="1:11" ht="15.75" x14ac:dyDescent="0.25">
      <c r="A30" s="6" t="s">
        <v>17</v>
      </c>
      <c r="B30" s="14">
        <v>0.15</v>
      </c>
      <c r="C30" s="16"/>
      <c r="D30" s="16"/>
      <c r="E30" s="16"/>
      <c r="F30" s="16"/>
      <c r="G30" s="16"/>
      <c r="K30" s="54"/>
    </row>
    <row r="31" spans="1:11" ht="15.75" x14ac:dyDescent="0.25">
      <c r="A31" s="6" t="s">
        <v>15</v>
      </c>
      <c r="B31" s="13">
        <f>NPV(B30,C29:G29)+B29</f>
        <v>15134.794812186679</v>
      </c>
      <c r="D31" s="16"/>
      <c r="E31" s="16"/>
      <c r="F31" s="16"/>
      <c r="G31" s="16"/>
    </row>
    <row r="32" spans="1:11" ht="16.5" thickBot="1" x14ac:dyDescent="0.3">
      <c r="A32" s="3" t="s">
        <v>16</v>
      </c>
      <c r="B32" s="15">
        <f>IRR(B29:G29)</f>
        <v>0.74615810024497953</v>
      </c>
      <c r="C32" s="1"/>
      <c r="D32" s="1"/>
      <c r="E32" s="1"/>
      <c r="F32" s="1"/>
      <c r="G32" s="1"/>
    </row>
    <row r="33" spans="1:1" x14ac:dyDescent="0.25">
      <c r="A33" s="8"/>
    </row>
    <row r="34" spans="1:1" x14ac:dyDescent="0.25">
      <c r="A34" s="8"/>
    </row>
    <row r="35" spans="1:1" x14ac:dyDescent="0.25">
      <c r="A35" s="8"/>
    </row>
    <row r="36" spans="1:1" x14ac:dyDescent="0.25">
      <c r="A36" s="8"/>
    </row>
    <row r="37" spans="1:1" x14ac:dyDescent="0.25">
      <c r="A37" s="8"/>
    </row>
    <row r="38" spans="1:1" x14ac:dyDescent="0.25">
      <c r="A38" s="8"/>
    </row>
    <row r="39" spans="1:1" x14ac:dyDescent="0.25">
      <c r="A39" s="8"/>
    </row>
    <row r="40" spans="1:1" x14ac:dyDescent="0.25">
      <c r="A40" s="8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8"/>
    </row>
  </sheetData>
  <mergeCells count="11">
    <mergeCell ref="G21:G22"/>
    <mergeCell ref="A2:G2"/>
    <mergeCell ref="A16:B16"/>
    <mergeCell ref="A17:B17"/>
    <mergeCell ref="A19:B19"/>
    <mergeCell ref="A21:A22"/>
    <mergeCell ref="B21:B22"/>
    <mergeCell ref="C21:C22"/>
    <mergeCell ref="D21:D22"/>
    <mergeCell ref="E21:E22"/>
    <mergeCell ref="F21:F22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D458-36C2-49B9-961E-AFBE8787D61B}">
  <dimension ref="A1:E9"/>
  <sheetViews>
    <sheetView workbookViewId="0">
      <selection activeCell="D6" sqref="D6"/>
    </sheetView>
  </sheetViews>
  <sheetFormatPr baseColWidth="10" defaultRowHeight="15" x14ac:dyDescent="0.25"/>
  <cols>
    <col min="1" max="1" width="11.42578125" style="29"/>
    <col min="2" max="2" width="24.42578125" style="29" bestFit="1" customWidth="1"/>
    <col min="3" max="3" width="11.42578125" style="29"/>
    <col min="4" max="4" width="17.85546875" style="29" customWidth="1"/>
    <col min="5" max="5" width="13.7109375" style="45" bestFit="1" customWidth="1"/>
    <col min="6" max="16384" width="11.42578125" style="29"/>
  </cols>
  <sheetData>
    <row r="1" spans="1:5" x14ac:dyDescent="0.25">
      <c r="A1" s="29" t="s">
        <v>296</v>
      </c>
    </row>
    <row r="2" spans="1:5" ht="47.25" x14ac:dyDescent="0.25">
      <c r="A2" s="34" t="s">
        <v>204</v>
      </c>
      <c r="B2" s="34" t="s">
        <v>293</v>
      </c>
      <c r="C2" s="34" t="s">
        <v>282</v>
      </c>
      <c r="D2" s="34" t="s">
        <v>283</v>
      </c>
      <c r="E2" s="39"/>
    </row>
    <row r="3" spans="1:5" ht="15.75" x14ac:dyDescent="0.25">
      <c r="A3" s="34">
        <v>0</v>
      </c>
      <c r="B3" s="35">
        <f>FlujoCajaVANAcelerado!B29</f>
        <v>-6960</v>
      </c>
      <c r="C3" s="48">
        <f>1/(1+0.15)^A3</f>
        <v>1</v>
      </c>
      <c r="D3" s="49">
        <f>B3*C3</f>
        <v>-6960</v>
      </c>
      <c r="E3" s="46"/>
    </row>
    <row r="4" spans="1:5" ht="15.75" x14ac:dyDescent="0.25">
      <c r="A4" s="34">
        <v>1</v>
      </c>
      <c r="B4" s="47">
        <f>FlujoCajaVANAcelerado!C29</f>
        <v>3366.8815000000004</v>
      </c>
      <c r="C4" s="48">
        <f t="shared" ref="C4:C8" si="0">1/(1+0.15)^A4</f>
        <v>0.86956521739130443</v>
      </c>
      <c r="D4" s="49">
        <f>B4*C4</f>
        <v>2927.7230434782614</v>
      </c>
      <c r="E4" s="51"/>
    </row>
    <row r="5" spans="1:5" ht="15.75" x14ac:dyDescent="0.25">
      <c r="A5" s="34">
        <v>2</v>
      </c>
      <c r="B5" s="47">
        <f>FlujoCajaVANAcelerado!D29</f>
        <v>7243.41</v>
      </c>
      <c r="C5" s="48">
        <f>1/(1+0.15)^A5</f>
        <v>0.7561436672967865</v>
      </c>
      <c r="D5" s="49">
        <f>B5*C5</f>
        <v>5477.0586011342166</v>
      </c>
      <c r="E5" s="51"/>
    </row>
    <row r="6" spans="1:5" ht="15.75" x14ac:dyDescent="0.25">
      <c r="A6" s="34">
        <v>3</v>
      </c>
      <c r="B6" s="47">
        <f>FlujoCajaVANAcelerado!E29</f>
        <v>6381.5973000000004</v>
      </c>
      <c r="C6" s="48">
        <f>1/(1+0.15)^A6</f>
        <v>0.65751623243198831</v>
      </c>
      <c r="D6" s="49">
        <f t="shared" ref="D6:D7" si="1">B6*C6</f>
        <v>4196.0038135941495</v>
      </c>
      <c r="E6" s="51"/>
    </row>
    <row r="7" spans="1:5" ht="15.75" x14ac:dyDescent="0.25">
      <c r="A7" s="34">
        <v>4</v>
      </c>
      <c r="B7" s="47">
        <f>FlujoCajaVANAcelerado!F29</f>
        <v>7659.9555840000012</v>
      </c>
      <c r="C7" s="48">
        <f t="shared" si="0"/>
        <v>0.57175324559303342</v>
      </c>
      <c r="D7" s="49">
        <f t="shared" si="1"/>
        <v>4379.6044662504801</v>
      </c>
      <c r="E7" s="51"/>
    </row>
    <row r="8" spans="1:5" ht="15.75" x14ac:dyDescent="0.25">
      <c r="A8" s="34">
        <v>5</v>
      </c>
      <c r="B8" s="47">
        <f>FlujoCajaVANAcelerado!G29</f>
        <v>10286.895030720001</v>
      </c>
      <c r="C8" s="48">
        <f t="shared" si="0"/>
        <v>0.49717673529828987</v>
      </c>
      <c r="D8" s="49">
        <f>B8*C8</f>
        <v>5114.4048877295718</v>
      </c>
      <c r="E8" s="51"/>
    </row>
    <row r="9" spans="1:5" ht="110.25" x14ac:dyDescent="0.25">
      <c r="A9" s="34" t="s">
        <v>294</v>
      </c>
      <c r="B9" s="35"/>
      <c r="C9" s="35"/>
      <c r="D9" s="50">
        <f>D3+(D4)+(D5)+(D6)+D7+(D8)</f>
        <v>15134.794812186679</v>
      </c>
      <c r="E9" s="5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926F-64FF-4125-8F30-BFFF8CB72BCA}">
  <dimension ref="A1:G2"/>
  <sheetViews>
    <sheetView tabSelected="1" topLeftCell="A2" workbookViewId="0">
      <selection activeCell="A2" sqref="A2:G2"/>
    </sheetView>
  </sheetViews>
  <sheetFormatPr baseColWidth="10" defaultRowHeight="15" x14ac:dyDescent="0.25"/>
  <cols>
    <col min="1" max="16384" width="11.42578125" style="29"/>
  </cols>
  <sheetData>
    <row r="1" spans="1:7" x14ac:dyDescent="0.25">
      <c r="A1" s="29" t="s">
        <v>297</v>
      </c>
    </row>
    <row r="2" spans="1:7" ht="409.5" customHeight="1" x14ac:dyDescent="0.25">
      <c r="A2" s="62" t="s">
        <v>298</v>
      </c>
      <c r="B2" s="62"/>
      <c r="C2" s="62"/>
      <c r="D2" s="62"/>
      <c r="E2" s="62"/>
      <c r="F2" s="62"/>
      <c r="G2" s="62"/>
    </row>
  </sheetData>
  <mergeCells count="1">
    <mergeCell ref="A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Relación con el cliente</vt:lpstr>
      <vt:lpstr>Fuentes de ingresos</vt:lpstr>
      <vt:lpstr>Recursos clave</vt:lpstr>
      <vt:lpstr>Actividades clave</vt:lpstr>
      <vt:lpstr>Preguntas adicionales a EC</vt:lpstr>
      <vt:lpstr>Estructura de costos</vt:lpstr>
      <vt:lpstr>Proyeccion de ingresos</vt:lpstr>
      <vt:lpstr>FlujoCaja</vt:lpstr>
      <vt:lpstr>VAN</vt:lpstr>
      <vt:lpstr>FlujoCajaVANAcelerado</vt:lpstr>
      <vt:lpstr>VANAcelerado</vt:lpstr>
      <vt:lpstr>Conclusión financiera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dcterms:created xsi:type="dcterms:W3CDTF">2025-11-19T01:10:02Z</dcterms:created>
  <dcterms:modified xsi:type="dcterms:W3CDTF">2026-07-03T02:57:27Z</dcterms:modified>
</cp:coreProperties>
</file>